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TÍNH GIÁ SHOP MALL" sheetId="1" r:id="rId5"/>
    <sheet state="visible" name="BẢNG TÍNH GIÁ SHOP THƯỜNG" sheetId="2" r:id="rId6"/>
    <sheet state="visible" name="DuLieuGoc" sheetId="3" r:id="rId7"/>
    <sheet state="visible" name="DuLieuGoc2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7">
      <text>
        <t xml:space="preserve">CHỈ MẤT PHÍ 1 TRONG 2 GÓI DV, ƯU TIÊN LẤY PHÍ CÁI LỚN HƠN ĐỂ TÍNH SÁT BIÊN LỢI NHUẬN</t>
      </text>
    </comment>
  </commentList>
</comments>
</file>

<file path=xl/sharedStrings.xml><?xml version="1.0" encoding="utf-8"?>
<sst xmlns="http://schemas.openxmlformats.org/spreadsheetml/2006/main" count="7776" uniqueCount="1289">
  <si>
    <t>GIÁ NHẬP</t>
  </si>
  <si>
    <t>STT</t>
  </si>
  <si>
    <t>Ngành hàng cấp 1</t>
  </si>
  <si>
    <t>Ngành hàng cấp 2</t>
  </si>
  <si>
    <t>Ngành hàng cấp 3</t>
  </si>
  <si>
    <t>Phí cố định (%)</t>
  </si>
  <si>
    <t>GIÁ BÁN SHOPEE</t>
  </si>
  <si>
    <t>Điện Thoại &amp; Phụ Kiện</t>
  </si>
  <si>
    <t>LƯU Ý: CHỌN NGÀNH HÀNG CẤP 1 TRƯỚC, SAU ĐÓ CHỌN NGÀNH HÀNG CẤP 2 ĐỂ RA PHÍ CỐ ĐỊNH CHÍNH XÁC</t>
  </si>
  <si>
    <t>Phụ kiện</t>
  </si>
  <si>
    <t>STT NGÀNH HÀNG TRA TRONG BẢNG PHÍ CỐ ĐỊNH</t>
  </si>
  <si>
    <t>Phí hạ tầng</t>
  </si>
  <si>
    <t>Phí cố định</t>
  </si>
  <si>
    <t>Phí thanh toán</t>
  </si>
  <si>
    <t>Phí thanh toán = ( Giá sản phẩm trước Shopee trợ giá + Phí vận chuyển Người mua trả - Khuyến mãi Người bán đã áp dụng - Khuyến mãi từ Ngân hàng ) *5%</t>
  </si>
  <si>
    <t>Phí Voucher Xtra</t>
  </si>
  <si>
    <t>Phí ship trung bình khách hàng thanh toán</t>
  </si>
  <si>
    <t>Giả định phí ship trung bình người mua thanh toán để tính chính xác phí cố định (đây là phí ship sau trợ giá)</t>
  </si>
  <si>
    <t>PI SHIP</t>
  </si>
  <si>
    <t>Chi phí quảng cáo ước tính</t>
  </si>
  <si>
    <t>Phần này tự nhập để ước tính lợi nhuận</t>
  </si>
  <si>
    <t>PHÍ VOUCHER CỦA SHOP ƯỚC TÍNH</t>
  </si>
  <si>
    <t>Phần này shop tự cân đối</t>
  </si>
  <si>
    <t>Phí thuế ước tính (HKD)</t>
  </si>
  <si>
    <t>Tỉ lệ đơn hoàn hàng trả tiền giả định</t>
  </si>
  <si>
    <t>Nên dựa trên số liệu thực tế của shop để tính cho chính xác, vì mỗi shop có một con số khác nhau</t>
  </si>
  <si>
    <t>Phí ship hoàn đơn giả định (nếu không đăng ký PiShip)</t>
  </si>
  <si>
    <t>Phí ship hoàn đơn trên mỗi đơn thành công</t>
  </si>
  <si>
    <t>Nếu con số này lớn hơn 1650đ thì nên đăng ký Pi Ship</t>
  </si>
  <si>
    <t>SHOP KHÔNG ĐĂNG KÝ</t>
  </si>
  <si>
    <t>SHOP ĐK VOUCHER XTRA</t>
  </si>
  <si>
    <t>GIÁ BÁN SẢN PHẨM</t>
  </si>
  <si>
    <t>LÃI RÒNG</t>
  </si>
  <si>
    <t>PHÍ CỐ ĐỊNH</t>
  </si>
  <si>
    <t>PHÍ THANH TOÁN</t>
  </si>
  <si>
    <t>PHÍ HẠ TẦNG</t>
  </si>
  <si>
    <t>PHÍ DV VOUCHER XTRA</t>
  </si>
  <si>
    <t>TỔNG PHÍ SHOPEE</t>
  </si>
  <si>
    <t>PHÍ DV PI SHIP</t>
  </si>
  <si>
    <t>PHÍ QUẢNG CÁO ƯỚC TÍNH</t>
  </si>
  <si>
    <t>THUẾ HKD (ƯỚC TÍNH)</t>
  </si>
  <si>
    <t>PHÍ SHIP HOÀN ƯỚC TÍNH ( NẾU KHÔNG ĐK PI SHIP)</t>
  </si>
  <si>
    <t>CÓ PI SHIP</t>
  </si>
  <si>
    <t>TỔNG CHI PHÍ</t>
  </si>
  <si>
    <t>LỢI NHUẬN</t>
  </si>
  <si>
    <t>LỢI NHUẬN/DOANH THU</t>
  </si>
  <si>
    <t>CHI PHÍ/DOANH THU</t>
  </si>
  <si>
    <t>KHÔNG CÓ PI SHIP</t>
  </si>
  <si>
    <t>Phí cố định áp dụng từ 29/12/2025 (đã bao gồm thuế GTGT 8%)</t>
  </si>
  <si>
    <t>Thể Thao &amp; Dã Ngoại</t>
  </si>
  <si>
    <t>Dụng Cụ Thể Thao &amp; Dã Ngoại</t>
  </si>
  <si>
    <t>Tối đa 50k ( áp dụng từ ngày 15/9/2025)</t>
  </si>
  <si>
    <t xml:space="preserve"> </t>
  </si>
  <si>
    <t>Nếu con số này lớn hơn 1620đ thì nên đăng ký Pi Ship</t>
  </si>
  <si>
    <t>Phí cố định sau khi chiết khấu áp
 dụng từ ngày 08/09/2025 (Đã bao</t>
  </si>
  <si>
    <t>Thiết Bị Âm Thanh</t>
  </si>
  <si>
    <t>Amply và đầu chỉnh âm</t>
  </si>
  <si>
    <t>Cáp âm thanh/ video &amp; Đầu chuyển</t>
  </si>
  <si>
    <t>Tai nghe nhét tai &amp; chụp tai</t>
  </si>
  <si>
    <t>Dàn âm thanh</t>
  </si>
  <si>
    <t>Thu sóng AV</t>
  </si>
  <si>
    <t>Hệ thống âm thanh giải trí tại gia</t>
  </si>
  <si>
    <t>Khác</t>
  </si>
  <si>
    <t>Loa</t>
  </si>
  <si>
    <t>Máy nghe nhạc</t>
  </si>
  <si>
    <t>CD, DVD &amp; Bluray</t>
  </si>
  <si>
    <t>MP3 &amp; MP4</t>
  </si>
  <si>
    <t>Radio &amp; Cát-sét</t>
  </si>
  <si>
    <t>Máy ghi âm</t>
  </si>
  <si>
    <t>Micro thu âm</t>
  </si>
  <si>
    <t>Cameras &amp; Flycam</t>
  </si>
  <si>
    <t>Phụ kiện máy ảnh</t>
  </si>
  <si>
    <t>Đế pin</t>
  </si>
  <si>
    <t>Bộ sạc pin</t>
  </si>
  <si>
    <t>Túi đựng máy ảnh</t>
  </si>
  <si>
    <t>Phụ kiện đèn Flash</t>
  </si>
  <si>
    <t>Đèn Flash</t>
  </si>
  <si>
    <t>Tay cầm chống rung</t>
  </si>
  <si>
    <t>Thiết bị ánh sáng và phòng chụp</t>
  </si>
  <si>
    <t>Giấy &amp; phim in ảnh</t>
  </si>
  <si>
    <t>Máy in ảnh</t>
  </si>
  <si>
    <t>Chân máy ảnh</t>
  </si>
  <si>
    <t>Phụ kiện chăm sóc máy ảnh</t>
  </si>
  <si>
    <t>Bóng thổi bụi</t>
  </si>
  <si>
    <t>Bộ vệ sinh máy ảnh</t>
  </si>
  <si>
    <t>Tủ &amp; hộp chống ẩm</t>
  </si>
  <si>
    <t>Bút lau &amp; bàn chải làm sạch ống kính</t>
  </si>
  <si>
    <t>Gói hút ẩm</t>
  </si>
  <si>
    <t>Máy ảnh</t>
  </si>
  <si>
    <t>Máy quay hành động</t>
  </si>
  <si>
    <t>Máy ảnh film</t>
  </si>
  <si>
    <t>Máy ảnh cơ/DSLRs</t>
  </si>
  <si>
    <t>Máy ảnh chụp lấy liền</t>
  </si>
  <si>
    <t>Máy ảnh không gương lật</t>
  </si>
  <si>
    <t>Máy ảnh kỹ thuật số</t>
  </si>
  <si>
    <t>Máy quay phim</t>
  </si>
  <si>
    <t>Phụ kiện Flycam</t>
  </si>
  <si>
    <t>Flycam</t>
  </si>
  <si>
    <t>Phụ kiện ống kính</t>
  </si>
  <si>
    <t>Kính lọc</t>
  </si>
  <si>
    <t>Nắp ống kính</t>
  </si>
  <si>
    <t>Loa che sáng ống kính</t>
  </si>
  <si>
    <t>Ngàm ống kính &amp; Ngàm chuyển đổi ống</t>
  </si>
  <si>
    <t>Ống kính</t>
  </si>
  <si>
    <t>Camera giám sát</t>
  </si>
  <si>
    <t>Camera giám sát kết nối internet</t>
  </si>
  <si>
    <t>Camera giả chống trộm</t>
  </si>
  <si>
    <t>Đầu ghi hình</t>
  </si>
  <si>
    <t>Camera ngụy trang</t>
  </si>
  <si>
    <t>Máy tính &amp; Laptop</t>
  </si>
  <si>
    <t>Thiết Bị Lưu Trữ</t>
  </si>
  <si>
    <t>Đĩa CD</t>
  </si>
  <si>
    <t>USB &amp; OTG</t>
  </si>
  <si>
    <t>Thiết Bị Đựng Ổ Cứng</t>
  </si>
  <si>
    <t>Ổ Cứng Di Động</t>
  </si>
  <si>
    <t>Ổ Cứng Mạng (NAS)</t>
  </si>
  <si>
    <t>Ổ Cứng SSD</t>
  </si>
  <si>
    <t>Linh Kiện Máy Tính</t>
  </si>
  <si>
    <t>Quạt và Tản Nhiệt</t>
  </si>
  <si>
    <t>VGA - Card Màn Hình</t>
  </si>
  <si>
    <t>Mainboard - Bo Mạch Chủ</t>
  </si>
  <si>
    <t>Ổ Đĩa Quang</t>
  </si>
  <si>
    <t>Case Máy Tính</t>
  </si>
  <si>
    <t>Nguồn Máy Tính</t>
  </si>
  <si>
    <t>CPU - Bộ Vi Xử Lý</t>
  </si>
  <si>
    <t>Ram Máy Tính</t>
  </si>
  <si>
    <t>Bo Mạch Âm Thanh</t>
  </si>
  <si>
    <t>Keo Tản Nhiệt</t>
  </si>
  <si>
    <t>Bộ Lưu Điện</t>
  </si>
  <si>
    <t>Máy Tính Bàn</t>
  </si>
  <si>
    <t>Máy Tính All in one</t>
  </si>
  <si>
    <t>Bộ Máy Tính Bàn</t>
  </si>
  <si>
    <t>Máy Tính Mini</t>
  </si>
  <si>
    <t>Máy Chủ</t>
  </si>
  <si>
    <t>Chuột &amp; Bàn Phím</t>
  </si>
  <si>
    <t>Bảng Vẽ Điện Tử</t>
  </si>
  <si>
    <t>Bàn Phím Máy Tính</t>
  </si>
  <si>
    <t>Chuột Máy Tính</t>
  </si>
  <si>
    <t>Laptop</t>
  </si>
  <si>
    <t>Màn Hình</t>
  </si>
  <si>
    <t>Thiết Bị Mạng</t>
  </si>
  <si>
    <t>Bộ Chuyển Mạch KVM</t>
  </si>
  <si>
    <t>Bộ Phát Wifi</t>
  </si>
  <si>
    <t>Cáp Máy Tính</t>
  </si>
  <si>
    <t>Bộ chia mạng</t>
  </si>
  <si>
    <t>Bộ Chuyển Đổi Mạng</t>
  </si>
  <si>
    <t>Máy Chủ Máy In</t>
  </si>
  <si>
    <t>Bộ Kích Wifi</t>
  </si>
  <si>
    <t>Bộ Thu Wifi</t>
  </si>
  <si>
    <t>Thiết Bị Văn Phòng</t>
  </si>
  <si>
    <t>Máy Chấm Công</t>
  </si>
  <si>
    <t>Máy Đếm Tiền</t>
  </si>
  <si>
    <t>Máy Hủy Tài Liệu</t>
  </si>
  <si>
    <t>Máy Đánh Chữ</t>
  </si>
  <si>
    <t>Phụ Kiện Máy Tính Khác</t>
  </si>
  <si>
    <t>Phụ Kiện Máy Tính</t>
  </si>
  <si>
    <t>Đế Tản Nhiệt</t>
  </si>
  <si>
    <t>Miếng Dán Bàn Phím</t>
  </si>
  <si>
    <t>Pin Laptop</t>
  </si>
  <si>
    <t>Bộ Sạc Laptop</t>
  </si>
  <si>
    <t>Miếng Dán &amp; Ốp Laptop</t>
  </si>
  <si>
    <t>Bàn Laptop</t>
  </si>
  <si>
    <t>Bàn Di Chuột</t>
  </si>
  <si>
    <t>Bộ chia cổng USB &amp; Đọc thẻ nhớ</t>
  </si>
  <si>
    <t>Thiết Bị Truyền Hình Hội Nghị</t>
  </si>
  <si>
    <t>Webcam</t>
  </si>
  <si>
    <t>Máy In &amp; Máy Scan</t>
  </si>
  <si>
    <t>Máy In 3D</t>
  </si>
  <si>
    <t>Mực In &amp; Khay Mực</t>
  </si>
  <si>
    <t>Máy In, Máy Scan &amp; Máy Photo</t>
  </si>
  <si>
    <t>Máy In Mã Vạch</t>
  </si>
  <si>
    <t>Phần Mềm</t>
  </si>
  <si>
    <t>Gaming &amp; Console</t>
  </si>
  <si>
    <t>Phụ kiện console</t>
  </si>
  <si>
    <t>Máy chơi game</t>
  </si>
  <si>
    <t>Gameboy</t>
  </si>
  <si>
    <t>Nintendo DS</t>
  </si>
  <si>
    <t>Playstation</t>
  </si>
  <si>
    <t>PS Vita</t>
  </si>
  <si>
    <t>PSP</t>
  </si>
  <si>
    <t>Switch</t>
  </si>
  <si>
    <t>Wii</t>
  </si>
  <si>
    <t>Xbox</t>
  </si>
  <si>
    <t>Video Games</t>
  </si>
  <si>
    <t>Game Gameboy</t>
  </si>
  <si>
    <t>Game Nintendo DS</t>
  </si>
  <si>
    <t>Game Máy Khác</t>
  </si>
  <si>
    <t>Game PC</t>
  </si>
  <si>
    <t>Game Playstation</t>
  </si>
  <si>
    <t>Game PS Vita</t>
  </si>
  <si>
    <t>Game PSP</t>
  </si>
  <si>
    <t>Game Switch</t>
  </si>
  <si>
    <t>Game Wii</t>
  </si>
  <si>
    <t>Game Xbox</t>
  </si>
  <si>
    <t>Thiết Bị Điện Gia Dụng</t>
  </si>
  <si>
    <t>Pin</t>
  </si>
  <si>
    <t>Thuốc lá điện tử</t>
  </si>
  <si>
    <t>Mạch điện &amp; Phụ tùng</t>
  </si>
  <si>
    <t>Chuông cửa</t>
  </si>
  <si>
    <t>Ổ cắm điện &amp; Dây nối</t>
  </si>
  <si>
    <t>Thiết bị an toàn điện tử</t>
  </si>
  <si>
    <t>Thiết bị tiết kiệm điện</t>
  </si>
  <si>
    <t>Thiết bị báo động nhà ở</t>
  </si>
  <si>
    <t>Thiết bị chống sấm sét</t>
  </si>
  <si>
    <t>Công tắc</t>
  </si>
  <si>
    <t>Đồ gia dụng nhà bếp</t>
  </si>
  <si>
    <t>Nồi chiên không dầu</t>
  </si>
  <si>
    <t>Máy pha cà phê &amp; Phụ kiện</t>
  </si>
  <si>
    <t>Nồi chiên ngập dầu</t>
  </si>
  <si>
    <t>Máy rửa bát đĩa</t>
  </si>
  <si>
    <t>Máy chế biến thực phẩm &amp; Xay thịt</t>
  </si>
  <si>
    <t>Tủ đông</t>
  </si>
  <si>
    <t>Máy hút khói</t>
  </si>
  <si>
    <t>Máy ép, Xay sinh tố &amp; Máy làm sữa đậu nành</t>
  </si>
  <si>
    <t>Ấm đun siêu tốc</t>
  </si>
  <si>
    <t>Lò vi sóng</t>
  </si>
  <si>
    <t>Máy trộn thực phẩm</t>
  </si>
  <si>
    <t>Nồi nấu đa năng</t>
  </si>
  <si>
    <t>Lò nướng</t>
  </si>
  <si>
    <t>Nồi áp suất</t>
  </si>
  <si>
    <t>Tủ lạnh</t>
  </si>
  <si>
    <t>Nồi cơm điện</t>
  </si>
  <si>
    <t>Nồi nấu chậm &amp; Dụng cụ nấu chân không</t>
  </si>
  <si>
    <t>Dụng cụ nấu đặc biệt</t>
  </si>
  <si>
    <t>Lò sưởi, Bếp từ &amp; Bộ điều chỉnh gas</t>
  </si>
  <si>
    <t>Máy nướng bánh</t>
  </si>
  <si>
    <t>Máy lọc nước</t>
  </si>
  <si>
    <t>Tủ ủ rượu</t>
  </si>
  <si>
    <t>Thiết bị điện gia dụng lớn</t>
  </si>
  <si>
    <t>Thiết bị làm mát</t>
  </si>
  <si>
    <t>Thiết bị sấy khô nệm &amp; Giày</t>
  </si>
  <si>
    <t>Máy sưởi</t>
  </si>
  <si>
    <t>Máy giặt &amp; Máy sấy</t>
  </si>
  <si>
    <t>Máy nước nóng</t>
  </si>
  <si>
    <t>Máy chiếu &amp; Phụ kiện</t>
  </si>
  <si>
    <t>Bút trình chiếu</t>
  </si>
  <si>
    <t>Máy chiếu &amp; Màn hình chiếu</t>
  </si>
  <si>
    <t>Thiết bị điều khiển từ xa</t>
  </si>
  <si>
    <t>Thiết bị điện gia dụng nhỏ</t>
  </si>
  <si>
    <t>Thiết bị xử lý không khí</t>
  </si>
  <si>
    <t>Thiết bị vệ sinh chân &amp; Thư giãn</t>
  </si>
  <si>
    <t>Bàn là khô &amp; Hơi nước</t>
  </si>
  <si>
    <t>Máy may &amp; Phụ kiện</t>
  </si>
  <si>
    <t>Điện thoại</t>
  </si>
  <si>
    <t>Máy hút bụi &amp; Thiết bị làm sạch sàn</t>
  </si>
  <si>
    <t>Máy tăm nước</t>
  </si>
  <si>
    <t>Tivi &amp; Phụ kiện</t>
  </si>
  <si>
    <t>Ăng ten Tivi</t>
  </si>
  <si>
    <t>Tivi box &amp; Đầu thu kỹ thuật số</t>
  </si>
  <si>
    <t>Giá treo tivi</t>
  </si>
  <si>
    <t>Tivi</t>
  </si>
  <si>
    <t>Cáp, sạc &amp; bộ chuyển đổi</t>
  </si>
  <si>
    <t>Vỏ bao, Ốp lưng &amp; Miếng dán</t>
  </si>
  <si>
    <t>Thiết bị trình chiếu</t>
  </si>
  <si>
    <t>Thẻ nhớ</t>
  </si>
  <si>
    <t>Đèn flash điện thoại &amp; Đèn selfie</t>
  </si>
  <si>
    <t>Ống kính điện thoại</t>
  </si>
  <si>
    <t>Túi đựng điện thoại</t>
  </si>
  <si>
    <t>Kẹp điện thoại</t>
  </si>
  <si>
    <t>Dây đeo điện thoại &amp; Móc khóa</t>
  </si>
  <si>
    <t>Bộ phát Wifi bỏ túi</t>
  </si>
  <si>
    <t>Sạc dự phòng &amp; Pin</t>
  </si>
  <si>
    <t>Miếng dán màn hình</t>
  </si>
  <si>
    <t>Phụ kiện selfie</t>
  </si>
  <si>
    <t>Bút cảm ứng</t>
  </si>
  <si>
    <t>Quạt USB &amp; Quạt điện thoại</t>
  </si>
  <si>
    <t>Đèn USB &amp; Đèn điện thoại</t>
  </si>
  <si>
    <t>Phụ kiện cho đồng hồ thông minh</t>
  </si>
  <si>
    <t>Thẻ sim</t>
  </si>
  <si>
    <t>Máy tính bảng</t>
  </si>
  <si>
    <t>Bộ đàm</t>
  </si>
  <si>
    <t>Thiết bị đeo thông minh</t>
  </si>
  <si>
    <t>Thiết bị định vị GPS</t>
  </si>
  <si>
    <t>Đồng hồ thông minh &amp; Vòng đeo tay sức khỏe</t>
  </si>
  <si>
    <t>Thiết bị thực tế ảo</t>
  </si>
  <si>
    <t>Voucher &amp; Dịch vụ</t>
  </si>
  <si>
    <t>Sức khỏe &amp; Làm đẹp</t>
  </si>
  <si>
    <t>Nha khoa</t>
  </si>
  <si>
    <t>Gym &amp; Yoga</t>
  </si>
  <si>
    <t>Salon tóc</t>
  </si>
  <si>
    <t>Chăm sóc sức khỏe</t>
  </si>
  <si>
    <t>Spa &amp; Massage</t>
  </si>
  <si>
    <t>Sự kiện &amp; Giải trí</t>
  </si>
  <si>
    <t>Hòa nhạc &amp; Triển lãm</t>
  </si>
  <si>
    <t>Sự kiện &amp; Hội thảo</t>
  </si>
  <si>
    <t>Vé xem phim - Kịch</t>
  </si>
  <si>
    <t>Công viên giải trí</t>
  </si>
  <si>
    <t>Nhà hàng &amp; Ăn uống</t>
  </si>
  <si>
    <t>Ăn tại chỗ &amp; Mang đi</t>
  </si>
  <si>
    <t>Giao thức ăn</t>
  </si>
  <si>
    <t>Khóa học</t>
  </si>
  <si>
    <t>Dịch vụ khác</t>
  </si>
  <si>
    <t>Lắp đặt sửa chữa máy lạnh</t>
  </si>
  <si>
    <t>Giao &amp; Vận chuyển hàng hóa</t>
  </si>
  <si>
    <t>Thiết kế</t>
  </si>
  <si>
    <t>Dọn dẹp nhà cửa</t>
  </si>
  <si>
    <t>Bảo hiểm</t>
  </si>
  <si>
    <t>Gói chụp hình</t>
  </si>
  <si>
    <t>Mã quà tặng Shopee</t>
  </si>
  <si>
    <t>Digital Products</t>
  </si>
  <si>
    <t>Shopee Official</t>
  </si>
  <si>
    <t>Phí quảng cáo Shopee</t>
  </si>
  <si>
    <t>Mua sắm</t>
  </si>
  <si>
    <t>Trung tâm thương mại</t>
  </si>
  <si>
    <t>Siêu thị</t>
  </si>
  <si>
    <t>Nạp tiền tài khoản</t>
  </si>
  <si>
    <t>Internet &amp; Truyền hình cáp</t>
  </si>
  <si>
    <t>Gói data 3G/4G</t>
  </si>
  <si>
    <t>Nạp trực tiếp &amp; Mua mã thẻ</t>
  </si>
  <si>
    <t>Gọi xe</t>
  </si>
  <si>
    <t>Du lịch &amp; Khách sạn</t>
  </si>
  <si>
    <t>Đặt phòng</t>
  </si>
  <si>
    <t>Vé xe buýt</t>
  </si>
  <si>
    <t>Thuê phương tiện</t>
  </si>
  <si>
    <t>Vé máy bay</t>
  </si>
  <si>
    <t>Suối nước nóng</t>
  </si>
  <si>
    <t>Tour du lịch</t>
  </si>
  <si>
    <t>Vé tàu lửa</t>
  </si>
  <si>
    <t>Thanh toán hóa đơn</t>
  </si>
  <si>
    <t>Thời trang trẻ em &amp; trẻ sơ sinh</t>
  </si>
  <si>
    <t>Phụ kiện trẻ em &amp; trẻ sơ sinh</t>
  </si>
  <si>
    <t>Túi xách &amp; vali</t>
  </si>
  <si>
    <t>Thắt lưng</t>
  </si>
  <si>
    <t>Chụp tai</t>
  </si>
  <si>
    <t>Mắt kính</t>
  </si>
  <si>
    <t>Găng tay</t>
  </si>
  <si>
    <t>Phụ kiện tóc</t>
  </si>
  <si>
    <t>Mũ &amp; mũ lưỡi trai</t>
  </si>
  <si>
    <t>Trang sức</t>
  </si>
  <si>
    <t>Đồ đi mưa</t>
  </si>
  <si>
    <t>Khăn</t>
  </si>
  <si>
    <t>Tất</t>
  </si>
  <si>
    <t>Đồng hồ</t>
  </si>
  <si>
    <t>Quần áo trẻ em</t>
  </si>
  <si>
    <t>Bộ đồ liền thân</t>
  </si>
  <si>
    <t>Quần/Chân váy</t>
  </si>
  <si>
    <t>Váy</t>
  </si>
  <si>
    <t>Áo khoác nhẹ</t>
  </si>
  <si>
    <t>Bộ quần áo</t>
  </si>
  <si>
    <t>Đồ ngủ</t>
  </si>
  <si>
    <t>Đồ bơi</t>
  </si>
  <si>
    <t>Áo</t>
  </si>
  <si>
    <t>Áo khoác mùa đông</t>
  </si>
  <si>
    <t>Bao tay trẻ em &amp; Tất</t>
  </si>
  <si>
    <t>Quần áo bé trai</t>
  </si>
  <si>
    <t>Quần</t>
  </si>
  <si>
    <t>Đồ hóa trang</t>
  </si>
  <si>
    <t>Áo khoác</t>
  </si>
  <si>
    <t>Com lê &amp; đồ bộ</t>
  </si>
  <si>
    <t>Đồ lót</t>
  </si>
  <si>
    <t>Giày bé trai</t>
  </si>
  <si>
    <t>Bốt</t>
  </si>
  <si>
    <t>Dép lê</t>
  </si>
  <si>
    <t>Giày tây</t>
  </si>
  <si>
    <t>Giày lười</t>
  </si>
  <si>
    <t>Dép quai hậu</t>
  </si>
  <si>
    <t>Giày thể thao</t>
  </si>
  <si>
    <t>Quần áo bé gái</t>
  </si>
  <si>
    <t>Đồ liền thân</t>
  </si>
  <si>
    <t>Giày bé gái</t>
  </si>
  <si>
    <t>Giày bệt</t>
  </si>
  <si>
    <t>Phụ Kiện Thời Trang</t>
  </si>
  <si>
    <t>Bộ phụ kiện</t>
  </si>
  <si>
    <t>Phụ kiện thêm</t>
  </si>
  <si>
    <t>Trâm &amp; Ghim cài áo</t>
  </si>
  <si>
    <t>Mặt dây chuyền và Charm</t>
  </si>
  <si>
    <t>Măng sét nam</t>
  </si>
  <si>
    <t>Khăn tay</t>
  </si>
  <si>
    <t>Khẩu trang thời trang</t>
  </si>
  <si>
    <t>Miếng vá áo</t>
  </si>
  <si>
    <t>Hình xăm dán</t>
  </si>
  <si>
    <t>Lắc chân</t>
  </si>
  <si>
    <t>Vòng tay &amp; Lắc tay</t>
  </si>
  <si>
    <t>Bông tai</t>
  </si>
  <si>
    <t>Kính mắt</t>
  </si>
  <si>
    <t>Hộp kính và phụ kiện</t>
  </si>
  <si>
    <t>Gọng kính</t>
  </si>
  <si>
    <t>Kính mát</t>
  </si>
  <si>
    <t>Fine Jewelry</t>
  </si>
  <si>
    <t>Anklets</t>
  </si>
  <si>
    <t>Bracelets &amp; Bangles</t>
  </si>
  <si>
    <t>Brooches &amp; Pins</t>
  </si>
  <si>
    <t>Charms, Pendants &amp; Ornaments</t>
  </si>
  <si>
    <t>Earrings</t>
  </si>
  <si>
    <t>Jewellery Set</t>
  </si>
  <si>
    <t>Necklaces</t>
  </si>
  <si>
    <t>Others</t>
  </si>
  <si>
    <t>Rings</t>
  </si>
  <si>
    <t>Kẹp tóc</t>
  </si>
  <si>
    <t>Đồ buộc tóc &amp; Nơ</t>
  </si>
  <si>
    <t>Băng đô tóc</t>
  </si>
  <si>
    <t>Cài tóc, vương miện cài tóc</t>
  </si>
  <si>
    <t>Tóc giả &amp; Tóc nối</t>
  </si>
  <si>
    <t>Mũ</t>
  </si>
  <si>
    <t>Kim loại quý</t>
  </si>
  <si>
    <t>Kim cương</t>
  </si>
  <si>
    <t>Ngọc bích, Cẩm thạch</t>
  </si>
  <si>
    <t>Platinum &amp; Vàng</t>
  </si>
  <si>
    <t>Bạc</t>
  </si>
  <si>
    <t>Dây chuyền</t>
  </si>
  <si>
    <t>Cà vạt &amp; Nơ cổ</t>
  </si>
  <si>
    <t>Nhẫn</t>
  </si>
  <si>
    <t>Khăn choàng</t>
  </si>
  <si>
    <t>Túi Ví Nam</t>
  </si>
  <si>
    <t>Ba lô</t>
  </si>
  <si>
    <t>Cặp xách công sở</t>
  </si>
  <si>
    <t>Ví cầm tay</t>
  </si>
  <si>
    <t>Túi đeo chéo</t>
  </si>
  <si>
    <t>Cặp laptop</t>
  </si>
  <si>
    <t>Ba lô laptop</t>
  </si>
  <si>
    <t>Túi &amp; cặp đựng laptop</t>
  </si>
  <si>
    <t>Túi chống sốc laptop</t>
  </si>
  <si>
    <t>Túi tote</t>
  </si>
  <si>
    <t>Túi đeo hông &amp; Túi đeo ngực</t>
  </si>
  <si>
    <t>Bóp/ Ví</t>
  </si>
  <si>
    <t>Ví gập đôi &amp; gập ba</t>
  </si>
  <si>
    <t>Ví đựng thẻ</t>
  </si>
  <si>
    <t>Ví đựng tiền xu</t>
  </si>
  <si>
    <t>Ví dài</t>
  </si>
  <si>
    <t>Ví khác</t>
  </si>
  <si>
    <t>Ví đựng điện thoại &amp; chìa khóa</t>
  </si>
  <si>
    <t>Thời Trang Nam</t>
  </si>
  <si>
    <t>Hoodie &amp; Áo nỉ</t>
  </si>
  <si>
    <t>Áo hoodie</t>
  </si>
  <si>
    <t>Áo nỉ</t>
  </si>
  <si>
    <t>Sexy Innerwear</t>
  </si>
  <si>
    <t>Đồ lót giữ nhiệt</t>
  </si>
  <si>
    <t>Áo lót</t>
  </si>
  <si>
    <t>Quần lót</t>
  </si>
  <si>
    <t>Áo khoác vest</t>
  </si>
  <si>
    <t>Áo khoác mùa đông &amp; Áo choàng</t>
  </si>
  <si>
    <t>Quần jean</t>
  </si>
  <si>
    <t>Trang phục ngành nghề</t>
  </si>
  <si>
    <t>Quần dài</t>
  </si>
  <si>
    <t>Quần túi hộp</t>
  </si>
  <si>
    <t>Quần jogger</t>
  </si>
  <si>
    <t>Bộ</t>
  </si>
  <si>
    <t>Quần đùi</t>
  </si>
  <si>
    <t>Vớ/ Tất</t>
  </si>
  <si>
    <t>Com lê</t>
  </si>
  <si>
    <t>Áo Khoác &amp; Blazer</t>
  </si>
  <si>
    <t>Quần âu</t>
  </si>
  <si>
    <t>Bộ Com lê</t>
  </si>
  <si>
    <t>Áo vest &amp; Gi lê</t>
  </si>
  <si>
    <t>Áo len</t>
  </si>
  <si>
    <t>Áo polo</t>
  </si>
  <si>
    <t>Áo sơ mi</t>
  </si>
  <si>
    <t>Áo thun</t>
  </si>
  <si>
    <t>Áo ba lỗ</t>
  </si>
  <si>
    <t>Trang phục truyền thống</t>
  </si>
  <si>
    <t>Giày Dép Nam</t>
  </si>
  <si>
    <t>Bốt thời trang</t>
  </si>
  <si>
    <t>Bốt đi mưa</t>
  </si>
  <si>
    <t>Bốt bảo hộ</t>
  </si>
  <si>
    <t>Giày tây lười</t>
  </si>
  <si>
    <t>Giày Oxfords &amp; Giày buộc dây</t>
  </si>
  <si>
    <t>Xăng-đan &amp; Dép</t>
  </si>
  <si>
    <t>Dép xỏ ngón</t>
  </si>
  <si>
    <t>Dép mát-xa</t>
  </si>
  <si>
    <t>Dép đi trong nhà</t>
  </si>
  <si>
    <t>Xăng-đan</t>
  </si>
  <si>
    <t>Phụ kiện giày dép</t>
  </si>
  <si>
    <t>Dụng cụ chăm sóc &amp; Vệ sinh giày</t>
  </si>
  <si>
    <t>Khử mùi giày dép</t>
  </si>
  <si>
    <t>Cây đón gót &amp; Giữ form giày</t>
  </si>
  <si>
    <t>Lót giày</t>
  </si>
  <si>
    <t>Dây giày</t>
  </si>
  <si>
    <t>Giày sục</t>
  </si>
  <si>
    <t>Giày thể thao/ Sneakers</t>
  </si>
  <si>
    <t>Muslim Fashion</t>
  </si>
  <si>
    <t>Kid Muslim Wear</t>
  </si>
  <si>
    <t>Girl's Muslim Attire</t>
  </si>
  <si>
    <t>Men Muslim Wear</t>
  </si>
  <si>
    <t>Sarong</t>
  </si>
  <si>
    <t>Prayer Attire &amp; Equipment</t>
  </si>
  <si>
    <t>Peci, Songkok &amp; Kopiah</t>
  </si>
  <si>
    <t>Sets</t>
  </si>
  <si>
    <t>Women Muslim Wear</t>
  </si>
  <si>
    <t>Accessories</t>
  </si>
  <si>
    <t>Bottoms</t>
  </si>
  <si>
    <t>Dresses</t>
  </si>
  <si>
    <t>Veils</t>
  </si>
  <si>
    <t>Phụ Kiện Thể Thao &amp; Dã Ngoại</t>
  </si>
  <si>
    <t>Túi Chống Thấm</t>
  </si>
  <si>
    <t>Đồ Bảo Hộ Gym</t>
  </si>
  <si>
    <t>Dụng Cụ Bảo Vệ Miệng &amp; Băng Keo Thể Thao</t>
  </si>
  <si>
    <t>Phụ Kiện Khác</t>
  </si>
  <si>
    <t>Áo Mưa</t>
  </si>
  <si>
    <t>Túi Đựng Giày</t>
  </si>
  <si>
    <t>Mũ Thể Thao &amp; Dã Ngoại</t>
  </si>
  <si>
    <t>Băng Đô Thể Thao</t>
  </si>
  <si>
    <t>Vòng Tay Thể Thao</t>
  </si>
  <si>
    <t>Đồng Hồ Bấm Giây &amp; Máy Đếm Bước Chân</t>
  </si>
  <si>
    <t>Phụ Kiện Tập Luyện</t>
  </si>
  <si>
    <t>Ô/Dù</t>
  </si>
  <si>
    <t>Thời Trang Thể Thao &amp; Dã Ngoại</t>
  </si>
  <si>
    <t>Quần Thể Thao</t>
  </si>
  <si>
    <t>Áo Khoác</t>
  </si>
  <si>
    <t>Áo CLB</t>
  </si>
  <si>
    <t>Thời Trang Thể Thao Trẻ Em</t>
  </si>
  <si>
    <t>Bộ Đồ Thể Thao</t>
  </si>
  <si>
    <t>Áo Lót Thể Thao</t>
  </si>
  <si>
    <t>Đồ Bơi</t>
  </si>
  <si>
    <t>Áo Thể Thao</t>
  </si>
  <si>
    <t>Bắn Cung</t>
  </si>
  <si>
    <t>Cầu Lông</t>
  </si>
  <si>
    <t>Bóng Chày &amp; Bóng Ném</t>
  </si>
  <si>
    <t>Bóng Rổ</t>
  </si>
  <si>
    <t>Bida</t>
  </si>
  <si>
    <t>Thể Thao Ván Trượt</t>
  </si>
  <si>
    <t>Chèo Thuyền</t>
  </si>
  <si>
    <t>Đấm bốc &amp; Võ Tổng Hợp</t>
  </si>
  <si>
    <t>Cắm Trại &amp; Dã ngoại</t>
  </si>
  <si>
    <t>Đạp Xe</t>
  </si>
  <si>
    <t>Ném Phi Tiêu</t>
  </si>
  <si>
    <t>Câu Cá</t>
  </si>
  <si>
    <t>Thiết Bị Thể Thao</t>
  </si>
  <si>
    <t>Golf</t>
  </si>
  <si>
    <t>Trượt Tuyết &amp; Thể Thao Mùa Đông</t>
  </si>
  <si>
    <t>Môn Thể Thao Khác</t>
  </si>
  <si>
    <t>Leo Núi</t>
  </si>
  <si>
    <t>Bóng Bầu Dục</t>
  </si>
  <si>
    <t>Bắn Súng &amp; Game Sinh Tồn</t>
  </si>
  <si>
    <t>Bóng Đá, Futsal &amp; Cầu Mây</t>
  </si>
  <si>
    <t>Bóng Quần</t>
  </si>
  <si>
    <t>Lướt Ván</t>
  </si>
  <si>
    <t>Bơi Lội &amp; Lặn</t>
  </si>
  <si>
    <t>Bóng Bàn</t>
  </si>
  <si>
    <t>Tennis</t>
  </si>
  <si>
    <t>Bóng Chuyền</t>
  </si>
  <si>
    <t>Yoga &amp; Pilates</t>
  </si>
  <si>
    <t>Giày Thể Thao</t>
  </si>
  <si>
    <t>Giày Cầu Lông</t>
  </si>
  <si>
    <t>Giày Bóng Rổ</t>
  </si>
  <si>
    <t>Giày Futsal</t>
  </si>
  <si>
    <t>Giày Dã Ngoại</t>
  </si>
  <si>
    <t>Giày Thể Thao Trẻ Em</t>
  </si>
  <si>
    <t>Giày Thể Thao Khác</t>
  </si>
  <si>
    <t>Giày Chạy Bộ</t>
  </si>
  <si>
    <t>Giày Bóng Đá</t>
  </si>
  <si>
    <t>Giày Tennis</t>
  </si>
  <si>
    <t>Giày Tập Luyện</t>
  </si>
  <si>
    <t>Giày Bóng Chuyền</t>
  </si>
  <si>
    <t>Du lịch &amp; Hành lý</t>
  </si>
  <si>
    <t>Vali</t>
  </si>
  <si>
    <t>Phụ kiện du lịch</t>
  </si>
  <si>
    <t>Khóa vali</t>
  </si>
  <si>
    <t>Áo trùm vali</t>
  </si>
  <si>
    <t>Cân hành lý</t>
  </si>
  <si>
    <t>Dây đai vali</t>
  </si>
  <si>
    <t>Thẻ hành lý</t>
  </si>
  <si>
    <t>Phụ kiện khác</t>
  </si>
  <si>
    <t>Ví hộ chiếu</t>
  </si>
  <si>
    <t>Túi du lịch nhiều ngăn</t>
  </si>
  <si>
    <t>Gối &amp; Bịt mắt</t>
  </si>
  <si>
    <t>Bộ chiết mỹ phẩm</t>
  </si>
  <si>
    <t>Túi du lịch</t>
  </si>
  <si>
    <t>Túi dây rút</t>
  </si>
  <si>
    <t>Túi trống</t>
  </si>
  <si>
    <t>Túi gấp gọn</t>
  </si>
  <si>
    <t>Túi khác</t>
  </si>
  <si>
    <t>Đồng Hồ</t>
  </si>
  <si>
    <t>Đồng hồ nam</t>
  </si>
  <si>
    <t>Bộ đồng hồ &amp; Đồng hồ cặp</t>
  </si>
  <si>
    <t>Phụ kiện đồng hồ</t>
  </si>
  <si>
    <t>Pin đồng hồ</t>
  </si>
  <si>
    <t>Hộp đựng đồng hồ</t>
  </si>
  <si>
    <t>Khóa đồng hồ</t>
  </si>
  <si>
    <t>Dụng cụ sửa chữa</t>
  </si>
  <si>
    <t>Dây đồng hồ</t>
  </si>
  <si>
    <t>Đồng hồ nữ</t>
  </si>
  <si>
    <t>Túi Ví Nữ</t>
  </si>
  <si>
    <t>Phụ kiện túi</t>
  </si>
  <si>
    <t>Dụng cụ treo/đựng túi</t>
  </si>
  <si>
    <t>Túi đa ngăn tiện ích</t>
  </si>
  <si>
    <t>Dây đeo túi</t>
  </si>
  <si>
    <t>Charm và phụ kiện gắn túi</t>
  </si>
  <si>
    <t>Dụng cụ vệ sinh và chăm sóc túi</t>
  </si>
  <si>
    <t>Ví dự tiệc &amp; Ví cầm tay</t>
  </si>
  <si>
    <t>Túi đeo chéo &amp; Túi đeo vai</t>
  </si>
  <si>
    <t>Túi &amp; cặp đứng laptop</t>
  </si>
  <si>
    <t>Túi quai xách</t>
  </si>
  <si>
    <t>Ví</t>
  </si>
  <si>
    <t>Ví gập</t>
  </si>
  <si>
    <t>Ví mini đựng tiền</t>
  </si>
  <si>
    <t>Thời Trang Nữ</t>
  </si>
  <si>
    <t>Đầm</t>
  </si>
  <si>
    <t>Vải</t>
  </si>
  <si>
    <t>Vải Batik</t>
  </si>
  <si>
    <t>Vải canvas</t>
  </si>
  <si>
    <t>Vải cotton</t>
  </si>
  <si>
    <t>Vải denim</t>
  </si>
  <si>
    <t>Vải da</t>
  </si>
  <si>
    <t>Vải nhung, lụa, satin</t>
  </si>
  <si>
    <t>Vải nylon</t>
  </si>
  <si>
    <t>Vải len</t>
  </si>
  <si>
    <t>Hoodie và Áo nỉ</t>
  </si>
  <si>
    <t>Áo hoodies</t>
  </si>
  <si>
    <t>Áo khoác nỉ</t>
  </si>
  <si>
    <t>Áo blazer</t>
  </si>
  <si>
    <t>Áo choàng</t>
  </si>
  <si>
    <t>Áo khoác ngoài</t>
  </si>
  <si>
    <t>Áo vest</t>
  </si>
  <si>
    <t>Quần jeans</t>
  </si>
  <si>
    <t>Đồ bay (Jumpsuits)</t>
  </si>
  <si>
    <t>Quần yếm</t>
  </si>
  <si>
    <t>Đồ bay ngắn (playsuits)</t>
  </si>
  <si>
    <t>Phụ kiện đồ lót</t>
  </si>
  <si>
    <t>Áo ngực</t>
  </si>
  <si>
    <t>Đồ lót bảo hộ</t>
  </si>
  <si>
    <t>Bộ đồ lót</t>
  </si>
  <si>
    <t>Đồ lót gợi cảm</t>
  </si>
  <si>
    <t>Đồ định hình</t>
  </si>
  <si>
    <t>Đồ Bầu</t>
  </si>
  <si>
    <t>Đồ mặc cho con bú</t>
  </si>
  <si>
    <t>Quần bầu, Váy bầu</t>
  </si>
  <si>
    <t>Đầm bầu</t>
  </si>
  <si>
    <t>Bộ đồ bầu</t>
  </si>
  <si>
    <t>Áo bầu</t>
  </si>
  <si>
    <t>Áo ngực cho con bú</t>
  </si>
  <si>
    <t>Quần legging</t>
  </si>
  <si>
    <t>Bộ đồ đôi</t>
  </si>
  <si>
    <t>Bộ đồ gia đình</t>
  </si>
  <si>
    <t>Đồ lẻ</t>
  </si>
  <si>
    <t>Quần váy</t>
  </si>
  <si>
    <t>Áo choàng ngủ, Áo khoác kimono</t>
  </si>
  <si>
    <t>Váy ngủ</t>
  </si>
  <si>
    <t>Pyjama</t>
  </si>
  <si>
    <t>Quần tất</t>
  </si>
  <si>
    <t>Áo liền thân</t>
  </si>
  <si>
    <t>Áo hai dây và ba lỗ</t>
  </si>
  <si>
    <t>Áo ống</t>
  </si>
  <si>
    <t>Đồ truyền thống</t>
  </si>
  <si>
    <t>Quần và chân váy</t>
  </si>
  <si>
    <t>Váy cưới</t>
  </si>
  <si>
    <t>Giày Dép Nữ</t>
  </si>
  <si>
    <t>Xăng-đan và dép</t>
  </si>
  <si>
    <t>Xăng-đan đế bằng</t>
  </si>
  <si>
    <t>Dép kẹp/ dép xỏ ngón</t>
  </si>
  <si>
    <t>Giày đế bằng</t>
  </si>
  <si>
    <t>Giày bale</t>
  </si>
  <si>
    <t>Giày Oxford &amp; Giày buộc dây</t>
  </si>
  <si>
    <t>Giày sục &amp; Giày búp bê</t>
  </si>
  <si>
    <t>Giày cao gót</t>
  </si>
  <si>
    <t>Phụ kiện &amp; chăm sóc giày</t>
  </si>
  <si>
    <t>Miếng lót giày</t>
  </si>
  <si>
    <t>Đồ chăm sóc và làm sạch giày</t>
  </si>
  <si>
    <t>Đồ khử mùi giày</t>
  </si>
  <si>
    <t>Giày thể thao/ sneaker</t>
  </si>
  <si>
    <t>Giày đế xuồng</t>
  </si>
  <si>
    <t>Mẹ &amp; Bé</t>
  </si>
  <si>
    <t>Đồ dùng du lịch cho bé</t>
  </si>
  <si>
    <t>Túi đựng bỉm sữa</t>
  </si>
  <si>
    <t>Đồ dùng ăn dặm cho bé</t>
  </si>
  <si>
    <t>Yếm</t>
  </si>
  <si>
    <t>Bình sữa</t>
  </si>
  <si>
    <t>Đồ dùng cho con bú</t>
  </si>
  <si>
    <t>Máy xay cắt thực phẩm</t>
  </si>
  <si>
    <t>Ghế ăn dặm</t>
  </si>
  <si>
    <t>Ti giả</t>
  </si>
  <si>
    <t>Đồ dùng cho bé</t>
  </si>
  <si>
    <t>Bộ &amp; Gói quà tặng</t>
  </si>
  <si>
    <t>Phụ kiện cho mẹ</t>
  </si>
  <si>
    <t>Gối bầu</t>
  </si>
  <si>
    <t>Đai hỗ trợ bụng</t>
  </si>
  <si>
    <t>Chăm sóc sức khỏe mẹ</t>
  </si>
  <si>
    <t>Vitamin &amp; Thực phẩm bổ sung cho mẹ</t>
  </si>
  <si>
    <t>Kem dưỡng ẩm cho mẹ</t>
  </si>
  <si>
    <t>Đồ dùng phòng ngủ cho bé</t>
  </si>
  <si>
    <t>Nôi &amp; Cũi &amp; Giường cho bé</t>
  </si>
  <si>
    <t>Nệm và chăn ga</t>
  </si>
  <si>
    <t>Kệ &amp; Tủ</t>
  </si>
  <si>
    <t>Đồ chơi</t>
  </si>
  <si>
    <t>Đồ chơi cho trẻ sơ sinh &amp; trẻ nhỏ</t>
  </si>
  <si>
    <t>Sắc Đẹp</t>
  </si>
  <si>
    <t>Tắm &amp; chăm sóc cơ thể</t>
  </si>
  <si>
    <t>Kem &amp; sữa dưỡng thể</t>
  </si>
  <si>
    <t>Khử mùi cơ thể</t>
  </si>
  <si>
    <t>Mặt nạ ủ cơ thể</t>
  </si>
  <si>
    <t>Dầu dưỡng da</t>
  </si>
  <si>
    <t>Tẩy tế bào chết cơ thể</t>
  </si>
  <si>
    <t>Xà phòng &amp; sữa tắm</t>
  </si>
  <si>
    <t>Chăm sóc ngực</t>
  </si>
  <si>
    <t>Kem tẩy lông &amp; wax lông</t>
  </si>
  <si>
    <t>Dầu massage</t>
  </si>
  <si>
    <t>Chống nắng</t>
  </si>
  <si>
    <t>Bộ sản phẩm làm đẹp</t>
  </si>
  <si>
    <t>Dụng cụ làm đẹp</t>
  </si>
  <si>
    <t>Dụng cụ làm thon gọn cơ thể</t>
  </si>
  <si>
    <t>Dụng cụ chăm sóc da mặt</t>
  </si>
  <si>
    <t>Dụng cụ tẩy lông</t>
  </si>
  <si>
    <t>Dụng cụ chăm sóc tóc</t>
  </si>
  <si>
    <t>Dụng cụ trang điểm</t>
  </si>
  <si>
    <t>Chăm sóc tóc</t>
  </si>
  <si>
    <t>Dầu xả</t>
  </si>
  <si>
    <t>Thuốc nhuộm tóc</t>
  </si>
  <si>
    <t>Sản phẩm tạo kiểu tóc</t>
  </si>
  <si>
    <t>Sản phẩm dưỡng tóc</t>
  </si>
  <si>
    <t>Dầu gội</t>
  </si>
  <si>
    <t>Chăm sóc tay, chân &amp; móng</t>
  </si>
  <si>
    <t>Chăm sóc chân</t>
  </si>
  <si>
    <t>Chăm sóc tay</t>
  </si>
  <si>
    <t>Chăm sóc móng</t>
  </si>
  <si>
    <t>Trang điểm</t>
  </si>
  <si>
    <t>Trang điểm mắt</t>
  </si>
  <si>
    <t>Trang điểm mặt</t>
  </si>
  <si>
    <t>Trang điểm môi</t>
  </si>
  <si>
    <t>Tẩy trang</t>
  </si>
  <si>
    <t>Chăm sóc nam giới</t>
  </si>
  <si>
    <t>Sữa tắm &amp; chăm sóc cơ thể</t>
  </si>
  <si>
    <t>Sản phẩm cạo râu &amp; hớt tóc</t>
  </si>
  <si>
    <t>Chăm sóc da</t>
  </si>
  <si>
    <t>Nước hoa</t>
  </si>
  <si>
    <t>Chăm sóc da mặt</t>
  </si>
  <si>
    <t>Sản phẩm trị mụn</t>
  </si>
  <si>
    <t>Kem dưỡng sau chống nắng</t>
  </si>
  <si>
    <t>Giấy thấm dầu</t>
  </si>
  <si>
    <t>Sản phẩm dưỡng mắt</t>
  </si>
  <si>
    <t>Mặt nạ</t>
  </si>
  <si>
    <t>Tẩy tế bào chết</t>
  </si>
  <si>
    <t>Kem chống nắng cho mặt</t>
  </si>
  <si>
    <t>Sữa rửa mặt</t>
  </si>
  <si>
    <t>Xịt khoáng</t>
  </si>
  <si>
    <t>Kem dưỡng ẩm</t>
  </si>
  <si>
    <t>Dầu dưỡng ẩm</t>
  </si>
  <si>
    <t>Tinh chất dưỡng</t>
  </si>
  <si>
    <t>Sản phẩm dưỡng môi</t>
  </si>
  <si>
    <t>Nước cân bằng da</t>
  </si>
  <si>
    <t>Sức Khỏe</t>
  </si>
  <si>
    <t>Thực phẩm chức năng</t>
  </si>
  <si>
    <t>Hỗ trợ làm đẹp</t>
  </si>
  <si>
    <t>Hỗ trợ tăng cơ</t>
  </si>
  <si>
    <t>Hỗ trợ kiểm soát cân nặng</t>
  </si>
  <si>
    <t>Hỗ trợ sức khỏe</t>
  </si>
  <si>
    <t>Chăm sóc cá nhân</t>
  </si>
  <si>
    <t>Chống muỗi &amp; xua đuổi côn trùng</t>
  </si>
  <si>
    <t>Tã người lớn</t>
  </si>
  <si>
    <t>Chăm sóc tai</t>
  </si>
  <si>
    <t>Chăm sóc mắt</t>
  </si>
  <si>
    <t>Chăm sóc phụ nữ</t>
  </si>
  <si>
    <t>Dung dịch sát khuẩn tay</t>
  </si>
  <si>
    <t>Dụng cụ massage và trị liệu</t>
  </si>
  <si>
    <t>Vệ sinh răng miệng</t>
  </si>
  <si>
    <t>Hỗ trợ tình dục</t>
  </si>
  <si>
    <t>Bao cao su</t>
  </si>
  <si>
    <t>Bôi trơn</t>
  </si>
  <si>
    <t>Tăng cường sinh lý</t>
  </si>
  <si>
    <t>Thực phẩm và đồ uống</t>
  </si>
  <si>
    <t>Đồ uống có cồn</t>
  </si>
  <si>
    <t>Bia và trái cây lên men</t>
  </si>
  <si>
    <t>Rượu mạnh</t>
  </si>
  <si>
    <t>Rượu sake, soju &amp; umeshu</t>
  </si>
  <si>
    <t>Rượu vang &amp; Sâm panh</t>
  </si>
  <si>
    <t>Đồ làm bánh</t>
  </si>
  <si>
    <t>Đồ trang trí</t>
  </si>
  <si>
    <t>Hương liệu</t>
  </si>
  <si>
    <t>Bột nở và muối nở</t>
  </si>
  <si>
    <t>Bột pha sẵn</t>
  </si>
  <si>
    <t>Bột mì</t>
  </si>
  <si>
    <t>Chất tạo màu</t>
  </si>
  <si>
    <t>Bộ quà tặng</t>
  </si>
  <si>
    <t>Vật tư y tế</t>
  </si>
  <si>
    <t>Dụng cụ sơ cứu</t>
  </si>
  <si>
    <t>Kiểm tra và theo dõi sức khỏe</t>
  </si>
  <si>
    <t>Hỗ trợ chấn thương và khuyết tật</t>
  </si>
  <si>
    <t>Dụng cụ thí nghiệm</t>
  </si>
  <si>
    <t>Bao tay và khẩu trang y tế</t>
  </si>
  <si>
    <t>Chăm sóc mũi</t>
  </si>
  <si>
    <t>Thuốc không kê đơn</t>
  </si>
  <si>
    <t>Sản phẩm giảm đau dùng ngoài da</t>
  </si>
  <si>
    <t>Prescription Medicine</t>
  </si>
  <si>
    <t>Cân sức khỏe và phân tích cơ thể</t>
  </si>
  <si>
    <t>Ống nghe y tế</t>
  </si>
  <si>
    <t>Thuốc gia truyền</t>
  </si>
  <si>
    <t>Chăm sóc sức khỏe bé</t>
  </si>
  <si>
    <t>Chăm sóc răng miệng cho bé</t>
  </si>
  <si>
    <t>Chăm sóc da cho bé</t>
  </si>
  <si>
    <t>An toàn cho bé</t>
  </si>
  <si>
    <t>Thanh chắn cửa &amp; Cầu thang</t>
  </si>
  <si>
    <t>Bộ đệm cũi, Quây cũi &amp; Thanh chắn giường</t>
  </si>
  <si>
    <t>Bọc góc &amp; Cạnh</t>
  </si>
  <si>
    <t>Thiết bị giám sát trẻ</t>
  </si>
  <si>
    <t>Màn chống muỗi</t>
  </si>
  <si>
    <t>Khóa &amp; Dây đai an toàn</t>
  </si>
  <si>
    <t>Địu em bé</t>
  </si>
  <si>
    <t>Ghế ngồi ô tô &amp; xe máy</t>
  </si>
  <si>
    <t>Phụ kiện ghế ngồi ô tô &amp; xe máy</t>
  </si>
  <si>
    <t>Dây &amp; Đai dắt trẻ</t>
  </si>
  <si>
    <t>Phụ kiện xe đẩy</t>
  </si>
  <si>
    <t>Xe đẩy</t>
  </si>
  <si>
    <t>Đồ dùng phòng tắm &amp; Chăm sóc cơ thể bé</t>
  </si>
  <si>
    <t>Nước hoa cho bé</t>
  </si>
  <si>
    <t>Bộ chăm sóc trẻ sơ sinh</t>
  </si>
  <si>
    <t>Giặt xả quần áo trẻ em</t>
  </si>
  <si>
    <t>Áo choàng tắm, Khăn tắm &amp; Khăn mặt</t>
  </si>
  <si>
    <t>Dụng cụ tắm &amp; Phụ kiện</t>
  </si>
  <si>
    <t>Chậu tắm &amp; Ghế tắm</t>
  </si>
  <si>
    <t>Sản phẩm tắm &amp; gội cho bé</t>
  </si>
  <si>
    <t>Nón tắm</t>
  </si>
  <si>
    <t>Tã &amp; bô em bé</t>
  </si>
  <si>
    <t>Bệ thu nhỏ bồn cầu &amp; Bô vệ sinh</t>
  </si>
  <si>
    <t>Sữa bầu</t>
  </si>
  <si>
    <t>Ghế rung, Ghế nhún &amp; Xích đu tập đi</t>
  </si>
  <si>
    <t>Xe tập đi</t>
  </si>
  <si>
    <t>Đồ chơi lắp ráp</t>
  </si>
  <si>
    <t>Búp bê &amp; Thú nhồi bông</t>
  </si>
  <si>
    <t>Đồ chơi giáo dục</t>
  </si>
  <si>
    <t>Đồ chơi nhập vai</t>
  </si>
  <si>
    <t>Đồ chơi Robot</t>
  </si>
  <si>
    <t>Slime &amp; Đồ chơi nhựa dẻo</t>
  </si>
  <si>
    <t>Đồ chơi vận động &amp; Ngoài trời</t>
  </si>
  <si>
    <t>Xe đồ chơi</t>
  </si>
  <si>
    <t>Chăm Sóc Thú Cưng</t>
  </si>
  <si>
    <t>Vệ sinh cho thú cưng</t>
  </si>
  <si>
    <t>Khay &amp; Bồn vệ sinh cho mèo</t>
  </si>
  <si>
    <t>Tã cho thú cưng</t>
  </si>
  <si>
    <t>Khay huấn luyện vệ sinh cho chó</t>
  </si>
  <si>
    <t>Túi &amp; Xẻng dọn vệ sinh</t>
  </si>
  <si>
    <t>Lót chuồng cho thú nhỏ</t>
  </si>
  <si>
    <t>Phụ kiện cho thú cưng</t>
  </si>
  <si>
    <t>Phụ kiện thủy sinh</t>
  </si>
  <si>
    <t>Bát &amp; dụng cụ ăn</t>
  </si>
  <si>
    <t>Vòng cổ, dây dắt &amp; rọ mõm</t>
  </si>
  <si>
    <t>Nội thất cho thú cưng</t>
  </si>
  <si>
    <t>Thiết bị du lịch</t>
  </si>
  <si>
    <t>Quần áo &amp; phụ kiện</t>
  </si>
  <si>
    <t>Giày, tất &amp; bảo vệ móng</t>
  </si>
  <si>
    <t>Phụ kiện lông</t>
  </si>
  <si>
    <t>Mũ nón thú cưng</t>
  </si>
  <si>
    <t>Phụ kiện đeo cổ</t>
  </si>
  <si>
    <t>Quần áo thú cưng</t>
  </si>
  <si>
    <t>Áo mưa chó mèo</t>
  </si>
  <si>
    <t>Thức ăn cho thú cưng</t>
  </si>
  <si>
    <t>Thức ăn cho cá</t>
  </si>
  <si>
    <t>Thức ăn cho chim</t>
  </si>
  <si>
    <t>Thức ăn cho mèo</t>
  </si>
  <si>
    <t>Snack cho mèo</t>
  </si>
  <si>
    <t>Thức ăn cho chó</t>
  </si>
  <si>
    <t>Snack cho chó</t>
  </si>
  <si>
    <t>Thức ăn cho bò sát</t>
  </si>
  <si>
    <t>Thức ăn cho thú nhỏ</t>
  </si>
  <si>
    <t>Snack cho thú nhỏ</t>
  </si>
  <si>
    <t>Làm đẹp cho thú cưng</t>
  </si>
  <si>
    <t>Chăm sóc lông</t>
  </si>
  <si>
    <t>Chăm sóc răng miệng</t>
  </si>
  <si>
    <t>Tẩy giun &amp; diệt bọ chét</t>
  </si>
  <si>
    <t>Dược phẩm</t>
  </si>
  <si>
    <t>Vitamin &amp; chất bổ sung dinh dưỡng</t>
  </si>
  <si>
    <t>Các loại bánh</t>
  </si>
  <si>
    <t>Bánh mì</t>
  </si>
  <si>
    <t>Bánh kem</t>
  </si>
  <si>
    <t>Bánh ngọt/ pastry</t>
  </si>
  <si>
    <t>Đồ uống</t>
  </si>
  <si>
    <t>Nước có ga</t>
  </si>
  <si>
    <t>Thức uống Sô cô la</t>
  </si>
  <si>
    <t>Cà phê</t>
  </si>
  <si>
    <t>Siro pha</t>
  </si>
  <si>
    <t>Đồ tráng miệng</t>
  </si>
  <si>
    <t>Topping</t>
  </si>
  <si>
    <t>Nước tăng lực</t>
  </si>
  <si>
    <t>Nước trái cây lên men</t>
  </si>
  <si>
    <t>Sữa thực vật</t>
  </si>
  <si>
    <t>Bột pha</t>
  </si>
  <si>
    <t>Trà &amp; trà túi lọc</t>
  </si>
  <si>
    <t>Trà thảo mộc</t>
  </si>
  <si>
    <t>Nước tinh khiết</t>
  </si>
  <si>
    <t>Ngũ cốc &amp; mứt</t>
  </si>
  <si>
    <t>Thanh dinh dưỡng</t>
  </si>
  <si>
    <t>Ngũ cốc</t>
  </si>
  <si>
    <t>Mật ong và siro</t>
  </si>
  <si>
    <t>Mứt</t>
  </si>
  <si>
    <t>Đồ chế biến sẵn</t>
  </si>
  <si>
    <t>Đồ ăn chế biến sẵn</t>
  </si>
  <si>
    <t>Lẩu ăn liền</t>
  </si>
  <si>
    <t>Mì ăn liền</t>
  </si>
  <si>
    <t>Cơm và cháo ăn liền</t>
  </si>
  <si>
    <t>Nguyên liệu nấu ăn</t>
  </si>
  <si>
    <t>Gói/ bột gia vị</t>
  </si>
  <si>
    <t>Phụ gia thực phẩm</t>
  </si>
  <si>
    <t>Bột phủ</t>
  </si>
  <si>
    <t>Dầu ăn</t>
  </si>
  <si>
    <t>Gia vị &amp; Hương liệu</t>
  </si>
  <si>
    <t>Sốt &amp; súp ăn liền</t>
  </si>
  <si>
    <t>Đường</t>
  </si>
  <si>
    <t>Chất tạo ngọt</t>
  </si>
  <si>
    <t>Sữa - trứng</t>
  </si>
  <si>
    <t>Đậu phụ</t>
  </si>
  <si>
    <t>Bơ động vật &amp; thực vật</t>
  </si>
  <si>
    <t>Phô mai &amp; bột phô mai</t>
  </si>
  <si>
    <t>Bột kem béo</t>
  </si>
  <si>
    <t>Trứng</t>
  </si>
  <si>
    <t>Kem</t>
  </si>
  <si>
    <t>Sữa</t>
  </si>
  <si>
    <t>Sữa chua</t>
  </si>
  <si>
    <t>Nhu yếu phẩm</t>
  </si>
  <si>
    <t>Thực phẩm đóng hộp</t>
  </si>
  <si>
    <t>Thực phẩm khô</t>
  </si>
  <si>
    <t>Mì</t>
  </si>
  <si>
    <t>Mì Ý</t>
  </si>
  <si>
    <t>Rau củ ngâm</t>
  </si>
  <si>
    <t>Gạo</t>
  </si>
  <si>
    <t>Thực phẩm tươi sống &amp; đông lạnh</t>
  </si>
  <si>
    <t>Thực phẩm đông lạnh chế biến sẵn</t>
  </si>
  <si>
    <t>Trái cây</t>
  </si>
  <si>
    <t>Thịt</t>
  </si>
  <si>
    <t>Nấm</t>
  </si>
  <si>
    <t>Thịt và hải sản chế biến sẵn</t>
  </si>
  <si>
    <t>Hải sản</t>
  </si>
  <si>
    <t>Rau củ</t>
  </si>
  <si>
    <t>Thịt chay</t>
  </si>
  <si>
    <t>Đồ ăn vặt</t>
  </si>
  <si>
    <t>Bánh quy</t>
  </si>
  <si>
    <t>Khoai tây lát</t>
  </si>
  <si>
    <t>Sô cô la</t>
  </si>
  <si>
    <t>Thức ăn khô</t>
  </si>
  <si>
    <t>Các loại đậu sấy khô</t>
  </si>
  <si>
    <t>Bỏng ngô</t>
  </si>
  <si>
    <t>Pudding, thạch &amp; kẹo dẻo</t>
  </si>
  <si>
    <t>Các loại rong biển ăn liền</t>
  </si>
  <si>
    <t>Các loại hạt sấy khô</t>
  </si>
  <si>
    <t>Kẹo</t>
  </si>
  <si>
    <t>Vitamin &amp; Thực phẩm bổ sung</t>
  </si>
  <si>
    <t>Chăm sóc mũi cho bé</t>
  </si>
  <si>
    <t>Chống nắng cho bé</t>
  </si>
  <si>
    <t>Khăn lau</t>
  </si>
  <si>
    <t>Sữa công thức &amp; Thực phẩm cho bé</t>
  </si>
  <si>
    <t>Cháo, Thực phẩm xay nhuyễn &amp; Ngũ cốc</t>
  </si>
  <si>
    <t>Đồ ăn nhẹ cho bé</t>
  </si>
  <si>
    <t>Sữa pha sẵn</t>
  </si>
  <si>
    <t>Bộ lót thay tã</t>
  </si>
  <si>
    <t>Tã vải &amp; Phụ kiện</t>
  </si>
  <si>
    <t>Tã dùng một lần</t>
  </si>
  <si>
    <t>Sữa công thức</t>
  </si>
  <si>
    <t>Ô tô</t>
  </si>
  <si>
    <t>Phụ kiện ngoại thất ô tô</t>
  </si>
  <si>
    <t>Ăng-ten thu phát sóng</t>
  </si>
  <si>
    <t>Bạt phủ</t>
  </si>
  <si>
    <t>Nẹp viền</t>
  </si>
  <si>
    <t>Rãnh thoát nước mưa</t>
  </si>
  <si>
    <t>Còi &amp; phụ kiện</t>
  </si>
  <si>
    <t>Phụ kiện biển số</t>
  </si>
  <si>
    <t>Gương &amp; Phụ kiện</t>
  </si>
  <si>
    <t>Tấm chắn bùn</t>
  </si>
  <si>
    <t>Nẹp cửa chống trầy</t>
  </si>
  <si>
    <t>Hình dán, logo, huy hiệu</t>
  </si>
  <si>
    <t>Phụ kiện nội thất ô tô</t>
  </si>
  <si>
    <t>Hệ thống loa</t>
  </si>
  <si>
    <t>Camera hành trình &amp; Camera lùi</t>
  </si>
  <si>
    <t>Nệm giường ô tô</t>
  </si>
  <si>
    <t>Thảm &amp; Đệm lót</t>
  </si>
  <si>
    <t>HUD, Đồng hồ tốc độ, Đồng hồ số</t>
  </si>
  <si>
    <t>Khóa và thiết bị chống trộm</t>
  </si>
  <si>
    <t>Thiết bị định vị và Hệ thống hình ảnh/âm thanh</t>
  </si>
  <si>
    <t>Dụng cụ chứa</t>
  </si>
  <si>
    <t>Chân ga và Cần số</t>
  </si>
  <si>
    <t>Nước hoa, Nước hoa khử mùi, Thiết bị lọc không khí</t>
  </si>
  <si>
    <t>Giá đỡ điện thoại</t>
  </si>
  <si>
    <t>Gối tựa đầu &amp; lưng</t>
  </si>
  <si>
    <t>Ghế &amp; Áo ghế</t>
  </si>
  <si>
    <t>Vô lăng &amp; Bọc vô lăng</t>
  </si>
  <si>
    <t>Tấm che nắng và Thảm Taplo</t>
  </si>
  <si>
    <t>Cốc sạc USB, Thiết bị thu phát FM &amp; Bluetooth</t>
  </si>
  <si>
    <t>Phụ tùng ô tô</t>
  </si>
  <si>
    <t>Vòng bi &amp; con dấu</t>
  </si>
  <si>
    <t>Dây chuyền động</t>
  </si>
  <si>
    <t>Hệ thống khung xe và giảm sóc</t>
  </si>
  <si>
    <t>Hệ thống phanh</t>
  </si>
  <si>
    <t>Hệ thống truyền động, hộp số &amp; ly hợp</t>
  </si>
  <si>
    <t>Thiết bị điện tử</t>
  </si>
  <si>
    <t>Bộ phận động cơ</t>
  </si>
  <si>
    <t>Hệ thống khí xả</t>
  </si>
  <si>
    <t>Hệ thống xử lý nhiên liệu</t>
  </si>
  <si>
    <t>Bộ tản nhiệt, Làm mát động cơ &amp; Kiểm soát nhiệt</t>
  </si>
  <si>
    <t>Giảm xóc, thanh chống và hệ thống treo</t>
  </si>
  <si>
    <t>Lốp &amp; Phụ kiện</t>
  </si>
  <si>
    <t>Bánh xe, Vành &amp; Phụ kiện</t>
  </si>
  <si>
    <t>Cần gạt nước &amp; vòng đệm kính chắn gió</t>
  </si>
  <si>
    <t>Chăm sóc ô tô</t>
  </si>
  <si>
    <t>Rửa kính &amp; Chất chống bám nước</t>
  </si>
  <si>
    <t>Chăm sóc nội thất</t>
  </si>
  <si>
    <t>Đánh bóng, sơn phủ &amp; chất làm kín</t>
  </si>
  <si>
    <t>Chăm sóc lốp &amp; vành</t>
  </si>
  <si>
    <t>Dung dịch tẩy rửa</t>
  </si>
  <si>
    <t>Móc chìa khóa và Bọc chìa ô tô</t>
  </si>
  <si>
    <t>Dầu nhớt và phụ gia ô tô</t>
  </si>
  <si>
    <t>Chất chống đông &amp; chất làm mát</t>
  </si>
  <si>
    <t>Dầu máy</t>
  </si>
  <si>
    <t>Phụ gia</t>
  </si>
  <si>
    <t>Mỡ &amp; Chất bôi trơn</t>
  </si>
  <si>
    <t>Dầu</t>
  </si>
  <si>
    <t>Dụng cụ sửa chữa ô tô</t>
  </si>
  <si>
    <t>Dụng cụ Kiểm tra, chẩn đoán &amp; sửa chữa</t>
  </si>
  <si>
    <t>Máy đo áp suất lốp</t>
  </si>
  <si>
    <t>Dịch vụ cho xe</t>
  </si>
  <si>
    <t>Sách &amp; Tạp Chí</t>
  </si>
  <si>
    <t>Sách</t>
  </si>
  <si>
    <t>Văn Học Hành Động, Tội Phạm &amp; Kinh Dị</t>
  </si>
  <si>
    <t>Sách Người Lớn</t>
  </si>
  <si>
    <t>Sách Nông - Lâm - Ngư Nghiệp</t>
  </si>
  <si>
    <t>Sách Nghệ thuật, Thiết kế &amp; Nhiếp ảnh</t>
  </si>
  <si>
    <t>Sách Nói</t>
  </si>
  <si>
    <t>Sách Vải</t>
  </si>
  <si>
    <t>Tiểu Sử - Hồi Ký</t>
  </si>
  <si>
    <t>Sách Kinh Tế - Kinh Doanh</t>
  </si>
  <si>
    <t>Sách Hướng Nghiệp &amp; Phát Triển Bản Thân</t>
  </si>
  <si>
    <t>Sách Thiếu Nhi</t>
  </si>
  <si>
    <t>Văn Học Kinh Điển</t>
  </si>
  <si>
    <t>Truyện Tranh</t>
  </si>
  <si>
    <t>Sách Công Nghệ Thông Tin</t>
  </si>
  <si>
    <t>Sách Giáo Dục</t>
  </si>
  <si>
    <t>Văn Học Giả Tưởng</t>
  </si>
  <si>
    <t>Sách Sức Khỏe, Rèn Luyện &amp; Ăn Kiêng</t>
  </si>
  <si>
    <t>Sách Lịch Sử - Văn Hóa</t>
  </si>
  <si>
    <t>Sách Sở Thích Cá Nhân</t>
  </si>
  <si>
    <t>Sách Chiêm Tinh</t>
  </si>
  <si>
    <t>Sách Học Ngoại Ngữ &amp; Từ Điển</t>
  </si>
  <si>
    <t>Văn Học LGBTQ+</t>
  </si>
  <si>
    <t>Light Novels</t>
  </si>
  <si>
    <t>Sách Y Học</t>
  </si>
  <si>
    <t>Sách Âm Nhạc</t>
  </si>
  <si>
    <t>Sách Gia Đình</t>
  </si>
  <si>
    <t>Sách Chính Trị - Pháp Lý &amp; Khoa Học</t>
  </si>
  <si>
    <t>Sách Tâm Lý Học</t>
  </si>
  <si>
    <t>Sách Dạy Nấu Ăn</t>
  </si>
  <si>
    <t>Sách Tôn giáo &amp; Triết học</t>
  </si>
  <si>
    <t>Văn Học Lãng Mạn</t>
  </si>
  <si>
    <t>Khoa Học - Toán Học</t>
  </si>
  <si>
    <t>Sách Hình Dán &amp; Tô Màu</t>
  </si>
  <si>
    <t>Sách Du Lịch - Du Ký</t>
  </si>
  <si>
    <t>E-Books</t>
  </si>
  <si>
    <t>Tạp Chí &amp; Báo Giấy</t>
  </si>
  <si>
    <t>Tạp Chí Kinh Tế</t>
  </si>
  <si>
    <t>Tạp Chí Đời Sống</t>
  </si>
  <si>
    <t>Tạp Chí Tuổi Teen</t>
  </si>
  <si>
    <t>Sở thích &amp; Sưu tầm</t>
  </si>
  <si>
    <t>Băng - Đĩa</t>
  </si>
  <si>
    <t>Đồ Sưu Tầm</t>
  </si>
  <si>
    <t>Mô hình nhân vật</t>
  </si>
  <si>
    <t>Bộ sưu tập hoạt hình truyện tranh</t>
  </si>
  <si>
    <t>Tiền xu &amp; tiền giấy sưu tầm</t>
  </si>
  <si>
    <t>Bộ sưu tập nhân vật nổi tiếng</t>
  </si>
  <si>
    <t>Mô hình mecha/gundam</t>
  </si>
  <si>
    <t>Bộ sưu tập thể thao</t>
  </si>
  <si>
    <t>Tượng tĩnh</t>
  </si>
  <si>
    <t>Đá &amp; khoáng vật</t>
  </si>
  <si>
    <t>Mô hình xe</t>
  </si>
  <si>
    <t>Nhạc Cụ &amp; Phụ Kiện</t>
  </si>
  <si>
    <t>Đàn Piano &amp; Organ</t>
  </si>
  <si>
    <t>Phụ Kiện Âm Nhạc</t>
  </si>
  <si>
    <t>Nhạc Cụ Gõ</t>
  </si>
  <si>
    <t>Nhạc Cụ Dây</t>
  </si>
  <si>
    <t>Sáo, kèn</t>
  </si>
  <si>
    <t>Dụng Cụ May Vá</t>
  </si>
  <si>
    <t>Album Ảnh</t>
  </si>
  <si>
    <t>Quà Lưu Niệm</t>
  </si>
  <si>
    <t>Ống tiết kiệm</t>
  </si>
  <si>
    <t>Nam Châm</t>
  </si>
  <si>
    <t>Quạt Cầm Tay</t>
  </si>
  <si>
    <t>Móc khóa</t>
  </si>
  <si>
    <t>Đồ chơi - Giải trí</t>
  </si>
  <si>
    <t>Đồ chơi trứng</t>
  </si>
  <si>
    <t>Đồ chơi thẻ bài &amp; boardgame</t>
  </si>
  <si>
    <t>Kendama</t>
  </si>
  <si>
    <t>Đồ chơi ảo thuật</t>
  </si>
  <si>
    <t>Đồ chơi chọc ghẹo</t>
  </si>
  <si>
    <t>Đồ chơi điều khiển từ xa</t>
  </si>
  <si>
    <t>Đồ chơi rubik</t>
  </si>
  <si>
    <t>Đồ chơi con xoay</t>
  </si>
  <si>
    <t>Yo yo</t>
  </si>
  <si>
    <t>Đĩa Than</t>
  </si>
  <si>
    <t>Nhà cửa &amp; Đời sống</t>
  </si>
  <si>
    <t>Đồ dùng phòng tắm</t>
  </si>
  <si>
    <t>Bông tắm</t>
  </si>
  <si>
    <t>Kệ để đồ phòng tắm</t>
  </si>
  <si>
    <t>Bồn tắm</t>
  </si>
  <si>
    <t>Tay cầm an toàn</t>
  </si>
  <si>
    <t>Mũ tắm</t>
  </si>
  <si>
    <t>Rèm cửa nhà tắm</t>
  </si>
  <si>
    <t>Ghế nhà tắm, ghế chống trượt</t>
  </si>
  <si>
    <t>Vòi sen &amp; vòi xịt vệ sinh</t>
  </si>
  <si>
    <t>Kệ đựng xà phòng</t>
  </si>
  <si>
    <t>Bồn cầu, ghế và nắp bồn cầu</t>
  </si>
  <si>
    <t>Kệ đựng bàn chải, kệ nhả kem đánh răng</t>
  </si>
  <si>
    <t>Khăn mặt, khăn tắm, áo choàng tắm</t>
  </si>
  <si>
    <t>Chăn ga gối nệm</t>
  </si>
  <si>
    <t>Ga trải giường, vỏ gối</t>
  </si>
  <si>
    <t>Chăn, mền</t>
  </si>
  <si>
    <t>Gối ôm</t>
  </si>
  <si>
    <t>Chiếu điều hòa</t>
  </si>
  <si>
    <t>Tấm bảo vệ nệm, topper</t>
  </si>
  <si>
    <t>Nệm</t>
  </si>
  <si>
    <t>Mùng/ Màn chống muỗi</t>
  </si>
  <si>
    <t>Gối</t>
  </si>
  <si>
    <t>Trang trí nhà cửa</t>
  </si>
  <si>
    <t>Nến &amp; đồ đựng nến</t>
  </si>
  <si>
    <t>Thảm trải sàn</t>
  </si>
  <si>
    <t>Rèm cửa, màn che</t>
  </si>
  <si>
    <t>Thảm chùi chân</t>
  </si>
  <si>
    <t>Hoa trang trí</t>
  </si>
  <si>
    <t>Vỏ bọc nội thất</t>
  </si>
  <si>
    <t>Gương</t>
  </si>
  <si>
    <t>Khung ảnh &amp; vật trang trí tường</t>
  </si>
  <si>
    <t>Khăn trải bàn</t>
  </si>
  <si>
    <t>Bình trang trí</t>
  </si>
  <si>
    <t>Decal, tranh dán tường</t>
  </si>
  <si>
    <t>Bộ đồ bàn ăn</t>
  </si>
  <si>
    <t>Tô</t>
  </si>
  <si>
    <t>Cốc, ly, tách uống nước</t>
  </si>
  <si>
    <t>Bộ dao kéo</t>
  </si>
  <si>
    <t>Lồng bàn</t>
  </si>
  <si>
    <t>Bình nước</t>
  </si>
  <si>
    <t>Khay, tấm lót bàn ăn</t>
  </si>
  <si>
    <t>Dĩa</t>
  </si>
  <si>
    <t>Ống hút</t>
  </si>
  <si>
    <t>Bộ ấm trà</t>
  </si>
  <si>
    <t>Bình nước &amp; phụ kiện</t>
  </si>
  <si>
    <t>Đồ thờ cúng, đồ phong thủy</t>
  </si>
  <si>
    <t>Nội thất</t>
  </si>
  <si>
    <t>Giường, khung giường</t>
  </si>
  <si>
    <t>Ghế, ghế dài, ghế đẩu</t>
  </si>
  <si>
    <t>Tủ bếp</t>
  </si>
  <si>
    <t>Đệm ngồi</t>
  </si>
  <si>
    <t>Bàn</t>
  </si>
  <si>
    <t>Miếng chặn cửa</t>
  </si>
  <si>
    <t>Kệ &amp; Giá</t>
  </si>
  <si>
    <t>Ghế sofa</t>
  </si>
  <si>
    <t>Tủ quần áo</t>
  </si>
  <si>
    <t>Làm vườn</t>
  </si>
  <si>
    <t>Phân bón</t>
  </si>
  <si>
    <t>Trang trí vườn</t>
  </si>
  <si>
    <t>Đất trồng</t>
  </si>
  <si>
    <t>Dụng cụ làm vườn</t>
  </si>
  <si>
    <t>Hệ thống tưới nước</t>
  </si>
  <si>
    <t>Máy cắt cỏ, dụng cụ cắt cỏ</t>
  </si>
  <si>
    <t>Cây cảnh</t>
  </si>
  <si>
    <t>Chậu cây</t>
  </si>
  <si>
    <t>Hạt giống &amp; chất hỗ trợ trồng cây</t>
  </si>
  <si>
    <t>Túi làm ấm</t>
  </si>
  <si>
    <t>Dụng cụ chăm sóc nhà cửa</t>
  </si>
  <si>
    <t>Chậu, xô &amp; gáo nước</t>
  </si>
  <si>
    <t>Chổi</t>
  </si>
  <si>
    <t>Chất tẩy rửa</t>
  </si>
  <si>
    <t>Bàn chải vệ sinh</t>
  </si>
  <si>
    <t>Khăn vệ sinh</t>
  </si>
  <si>
    <t>Dây phơi &amp; giá phơi quần áo</t>
  </si>
  <si>
    <t>Chổi phủi bụi</t>
  </si>
  <si>
    <t>Phụ kiện giặt là</t>
  </si>
  <si>
    <t>Cây lau nhà</t>
  </si>
  <si>
    <t>Thuốc và dụng cụ diệt côn trùng</t>
  </si>
  <si>
    <t>Túi nilon &amp; túi rác</t>
  </si>
  <si>
    <t>Miếng bọt biển, miếng chà vệ sinh</t>
  </si>
  <si>
    <t>Khăn giấy, giấy ướt</t>
  </si>
  <si>
    <t>Giấy vệ sinh</t>
  </si>
  <si>
    <t>Thùng rác</t>
  </si>
  <si>
    <t>Chất khử mùi, làm thơm nhà</t>
  </si>
  <si>
    <t>Chất khử mùi, làm thơm</t>
  </si>
  <si>
    <t>Máy khuếch tán, tạo ẩm &amp; xông tinh dầu</t>
  </si>
  <si>
    <t>Tinh dầu thơm</t>
  </si>
  <si>
    <t>Sắp xếp nhà cửa</t>
  </si>
  <si>
    <t>Kệ sách để bàn</t>
  </si>
  <si>
    <t>Mắc áo</t>
  </si>
  <si>
    <t>Móc treo</t>
  </si>
  <si>
    <t>Hộp đựng trang sức</t>
  </si>
  <si>
    <t>Túi giặt, giỏ đựng quần áo</t>
  </si>
  <si>
    <t>Kệ giày, hộp giày</t>
  </si>
  <si>
    <t>Hộp đựng, giỏ đựng đồ</t>
  </si>
  <si>
    <t>Hộp khăn giấy</t>
  </si>
  <si>
    <t>Sắp xếp tủ quần áo</t>
  </si>
  <si>
    <t>Dụng cụ nhà bếp</t>
  </si>
  <si>
    <t>Giấy bạc</t>
  </si>
  <si>
    <t>Tạp dề &amp; găng tay nấu nướng</t>
  </si>
  <si>
    <t>Dụng cụ nướng &amp; trang trí bánh</t>
  </si>
  <si>
    <t>Dụng cụ mở hộp</t>
  </si>
  <si>
    <t>Thớt</t>
  </si>
  <si>
    <t>Màng bọc thực phẩm</t>
  </si>
  <si>
    <t>Hộp đựng thực phẩm</t>
  </si>
  <si>
    <t>Bàn nạo, dụng cụ bào, cắt</t>
  </si>
  <si>
    <t>Lò nướng &amp; phụ kiện</t>
  </si>
  <si>
    <t>Kệ để đồ nhà bếp</t>
  </si>
  <si>
    <t>Cân nhà bếp</t>
  </si>
  <si>
    <t>Dao &amp; kéo</t>
  </si>
  <si>
    <t>Bật lửa, diêm và mồi lửa</t>
  </si>
  <si>
    <t>Measuring Glasses &amp; Spoons</t>
  </si>
  <si>
    <t>Chảo</t>
  </si>
  <si>
    <t>Nồi</t>
  </si>
  <si>
    <t>Dụng cụ hút chân không</t>
  </si>
  <si>
    <t>Cây vét bột &amp; đồ gắp thức ăn</t>
  </si>
  <si>
    <t>Dụng cụ lọc</t>
  </si>
  <si>
    <t>Dụng cụ pha trà, cà phê</t>
  </si>
  <si>
    <t>Phới đánh trứng</t>
  </si>
  <si>
    <t>Đèn</t>
  </si>
  <si>
    <t>Trang trí tiệc tùng</t>
  </si>
  <si>
    <t>Phông nền, biểu ngữ</t>
  </si>
  <si>
    <t>Bong bóng</t>
  </si>
  <si>
    <t>Thiệp</t>
  </si>
  <si>
    <t>Chén, đĩa dùng một lần</t>
  </si>
  <si>
    <t>Mũ, mặt nạ dự tiệc</t>
  </si>
  <si>
    <t>Băng đeo chéo</t>
  </si>
  <si>
    <t>Kẹp gỗ</t>
  </si>
  <si>
    <t>Bảo hộ gia đình</t>
  </si>
  <si>
    <t>Khóa, ổ khóa</t>
  </si>
  <si>
    <t>Thiết bị chữa cháy</t>
  </si>
  <si>
    <t>Két sắt</t>
  </si>
  <si>
    <t>Dụng cụ &amp; Thiết bị tiện ích</t>
  </si>
  <si>
    <t>Máy bơm khí &amp; phụ kiện</t>
  </si>
  <si>
    <t>Vật liệu xây dựng</t>
  </si>
  <si>
    <t>Cửa &amp; cửa sổ</t>
  </si>
  <si>
    <t>Keo &amp; chất kết chính công nghiệp</t>
  </si>
  <si>
    <t>Thang</t>
  </si>
  <si>
    <t>Găng tay, kính bảo hộ &amp; mặt nạ</t>
  </si>
  <si>
    <t>Mái &amp; sàn</t>
  </si>
  <si>
    <t>Mái hiên, bạt phủ</t>
  </si>
  <si>
    <t>Chậu rửa &amp; vòi nước</t>
  </si>
  <si>
    <t>Dụng cụ</t>
  </si>
  <si>
    <t>Sơn &amp; chất chống thấm tường</t>
  </si>
  <si>
    <t>Máy bơm nước &amp; phụ kiện</t>
  </si>
  <si>
    <t>Mô tô, xe máy</t>
  </si>
  <si>
    <t>Phụ kiện xe máy</t>
  </si>
  <si>
    <t>Thùng chứa đồ</t>
  </si>
  <si>
    <t>Lót sàn</t>
  </si>
  <si>
    <t>Gương và phụ kiện</t>
  </si>
  <si>
    <t>Ghế &amp; bọc ghế</t>
  </si>
  <si>
    <t>Đồng hồ đo</t>
  </si>
  <si>
    <t>Mũ bảo hiểm &amp; Phụ kiện</t>
  </si>
  <si>
    <t>Phụ tùng xe máy</t>
  </si>
  <si>
    <t>Pin &amp; Phụ kiện</t>
  </si>
  <si>
    <t>Hệ thống khung xe</t>
  </si>
  <si>
    <t>Dây cáp &amp; Ống</t>
  </si>
  <si>
    <t>Hệ thống dẫn động</t>
  </si>
  <si>
    <t>Còi &amp; Phụ kiện</t>
  </si>
  <si>
    <t>Bộ phận đánh lửa &amp; động cơ</t>
  </si>
  <si>
    <t>Hệ thống giảm xóc</t>
  </si>
  <si>
    <t>Lốp xe &amp; Phụ kiện</t>
  </si>
  <si>
    <t>Văn Phòng Phẩm</t>
  </si>
  <si>
    <t>Họa cụ</t>
  </si>
  <si>
    <t>Sơn Acrylic</t>
  </si>
  <si>
    <t>Vải &amp; Giá Vẽ</t>
  </si>
  <si>
    <t>Bút Chì Màu</t>
  </si>
  <si>
    <t>Bút Màu &amp; Phấn Màu</t>
  </si>
  <si>
    <t>Sơn Dầu</t>
  </si>
  <si>
    <t>Cọ Vẽ</t>
  </si>
  <si>
    <t>Bảng Màu</t>
  </si>
  <si>
    <t>Sổ vẽ phác thảo</t>
  </si>
  <si>
    <t>Màu Nước</t>
  </si>
  <si>
    <t>Quà Tặng - Giấy Gói</t>
  </si>
  <si>
    <t>Xốp Chống Sốc</t>
  </si>
  <si>
    <t>Hộp Carton</t>
  </si>
  <si>
    <t>Túi Quà Tặng</t>
  </si>
  <si>
    <t>Hộp Quà Tặng</t>
  </si>
  <si>
    <t>Giấy Gói Quà</t>
  </si>
  <si>
    <t>Ruy Băng</t>
  </si>
  <si>
    <t>Thư Tín</t>
  </si>
  <si>
    <t>Phong Bì &amp; Bao Lì Xì</t>
  </si>
  <si>
    <t>Bưu Thiếp</t>
  </si>
  <si>
    <t>Tem Các Loại</t>
  </si>
  <si>
    <t>Sổ &amp; Giấy Các Loại</t>
  </si>
  <si>
    <t>Giấy Mỹ Thuật</t>
  </si>
  <si>
    <t>Bọc Sách</t>
  </si>
  <si>
    <t>Đánh Dấu Trang</t>
  </si>
  <si>
    <t>Nhãn Dán Các Loại</t>
  </si>
  <si>
    <t>Ruột Sổ</t>
  </si>
  <si>
    <t>Giấy Ghi Chú</t>
  </si>
  <si>
    <t>Tập, Vở Các Loại</t>
  </si>
  <si>
    <t>Giấy In</t>
  </si>
  <si>
    <t>Giấy Nhiệt</t>
  </si>
  <si>
    <t>Thiết Bị Trường Học</t>
  </si>
  <si>
    <t>Máy tính cầm tay</t>
  </si>
  <si>
    <t>Lịch</t>
  </si>
  <si>
    <t>Kẹp &amp; Ghim Bấm</t>
  </si>
  <si>
    <t>Dụng Cụ Lưu Trữ Giấy Tờ</t>
  </si>
  <si>
    <t>Hồ Dán</t>
  </si>
  <si>
    <t>Máy Đục Lỗ</t>
  </si>
  <si>
    <t>Mực Đóng Dấu</t>
  </si>
  <si>
    <t>Máy In Nhãn</t>
  </si>
  <si>
    <t>Dây Đeo Thẻ &amp; Thẻ Tên</t>
  </si>
  <si>
    <t>Dao Rọc Giấy &amp; Máy Cắt Giấy</t>
  </si>
  <si>
    <t>Hộp Bút</t>
  </si>
  <si>
    <t>Thước Các Loại &amp; Giấy Nến</t>
  </si>
  <si>
    <t>Kéo</t>
  </si>
  <si>
    <t>Gọt bút chì</t>
  </si>
  <si>
    <t>Đồ Bấm Kim và Kim Bấm</t>
  </si>
  <si>
    <t>Dây &amp; Băng Keo Dán</t>
  </si>
  <si>
    <t>Bảng Viết &amp; Giá Treo Bảng</t>
  </si>
  <si>
    <t>Bút Các Loại</t>
  </si>
  <si>
    <t>Dụng Cụ Tẩy Xóa</t>
  </si>
  <si>
    <t>Bút Dạ Quang</t>
  </si>
  <si>
    <t>Bút Lông Màu</t>
  </si>
  <si>
    <t>Bút Chì</t>
  </si>
  <si>
    <t>Bút &amp; Mực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</si>
</sst>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[$đ-42A]"/>
    <numFmt numFmtId="165" formatCode="0.0%"/>
  </numFmts>
  <fonts count="32">
    <font>
      <sz val="10.0"/>
      <color rgb="FF000000"/>
      <name val="Arial"/>
      <scheme val="minor"/>
    </font>
    <font>
      <b/>
      <i/>
      <sz val="13.0"/>
      <color theme="1"/>
      <name val="Lexend"/>
    </font>
    <font>
      <b/>
      <sz val="12.0"/>
      <color theme="1"/>
      <name val="Lexend"/>
    </font>
    <font>
      <color theme="1"/>
      <name val="Lexend"/>
    </font>
    <font>
      <b/>
      <sz val="11.0"/>
      <color theme="1"/>
      <name val="Lexend"/>
    </font>
    <font>
      <i/>
      <color theme="1"/>
      <name val="Lexend"/>
    </font>
    <font>
      <b/>
      <i/>
      <color theme="1"/>
      <name val="Lexend"/>
    </font>
    <font>
      <sz val="7.0"/>
      <color theme="1"/>
      <name val="Lexend"/>
    </font>
    <font/>
    <font>
      <b/>
      <color theme="1"/>
      <name val="Lexend"/>
    </font>
    <font>
      <b/>
      <sz val="14.0"/>
      <color theme="1"/>
      <name val="Lexend"/>
    </font>
    <font>
      <b/>
      <i/>
      <sz val="10.0"/>
      <color theme="1"/>
      <name val="Lexend"/>
    </font>
    <font>
      <sz val="10.0"/>
      <color theme="1"/>
      <name val="Lexend"/>
    </font>
    <font>
      <b/>
      <i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9.0"/>
      <color rgb="FFFFFFFF"/>
      <name val="Arial"/>
    </font>
    <font>
      <color theme="1"/>
      <name val="Arial"/>
      <scheme val="minor"/>
    </font>
    <font>
      <i/>
      <color theme="1"/>
      <name val="Arial"/>
      <scheme val="minor"/>
    </font>
    <font>
      <b/>
      <i/>
      <color theme="1"/>
      <name val="Arial"/>
      <scheme val="minor"/>
    </font>
    <font>
      <sz val="7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4.0"/>
      <color theme="1"/>
      <name val="Arial"/>
      <scheme val="minor"/>
    </font>
    <font>
      <b/>
      <i/>
      <sz val="10.0"/>
      <color theme="1"/>
      <name val="Arial"/>
      <scheme val="minor"/>
    </font>
    <font>
      <sz val="10.0"/>
      <color theme="1"/>
      <name val="Arial"/>
      <scheme val="minor"/>
    </font>
    <font>
      <b/>
      <sz val="9.0"/>
      <color rgb="FFFFFFFF"/>
      <name val="Lexend"/>
    </font>
    <font>
      <sz val="9.0"/>
      <color theme="1"/>
      <name val="Lexend"/>
    </font>
    <font>
      <b/>
      <sz val="9.0"/>
      <color theme="1"/>
      <name val="Lexend"/>
    </font>
    <font>
      <sz val="9.0"/>
      <color rgb="FF000000"/>
      <name val="Lexend"/>
    </font>
    <font>
      <sz val="9.0"/>
      <color rgb="FF000000"/>
      <name val="Arial"/>
    </font>
    <font>
      <sz val="9.0"/>
      <color theme="1"/>
      <name val="Arial"/>
    </font>
    <font>
      <color rgb="FF000000"/>
      <name val="&quot;Times New Roman&quot;"/>
    </font>
  </fonts>
  <fills count="1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FF6D00"/>
        <bgColor rgb="FFFF6D00"/>
      </patternFill>
    </fill>
    <fill>
      <patternFill patternType="solid">
        <fgColor rgb="FFA2C4C9"/>
        <bgColor rgb="FFA2C4C9"/>
      </patternFill>
    </fill>
    <fill>
      <patternFill patternType="solid">
        <fgColor rgb="FFFCE5CD"/>
        <bgColor rgb="FFFCE5CD"/>
      </patternFill>
    </fill>
    <fill>
      <patternFill patternType="solid">
        <fgColor rgb="FFC55A11"/>
        <bgColor rgb="FFC55A11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164" xfId="0" applyAlignment="1" applyBorder="1" applyFont="1" applyNumberForma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left" vertical="center"/>
    </xf>
    <xf borderId="0" fillId="0" fontId="3" numFmtId="10" xfId="0" applyAlignment="1" applyFont="1" applyNumberFormat="1">
      <alignment horizontal="left" vertical="center"/>
    </xf>
    <xf borderId="1" fillId="2" fontId="6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vertical="center"/>
    </xf>
    <xf borderId="1" fillId="4" fontId="6" numFmtId="0" xfId="0" applyAlignment="1" applyBorder="1" applyFill="1" applyFont="1">
      <alignment horizontal="left" readingOrder="0" vertical="center"/>
    </xf>
    <xf borderId="1" fillId="4" fontId="3" numFmtId="164" xfId="0" applyAlignment="1" applyBorder="1" applyFont="1" applyNumberFormat="1">
      <alignment horizontal="left" readingOrder="0" vertical="center"/>
    </xf>
    <xf borderId="1" fillId="4" fontId="3" numFmtId="10" xfId="0" applyAlignment="1" applyBorder="1" applyFont="1" applyNumberFormat="1">
      <alignment horizontal="left" vertical="center"/>
    </xf>
    <xf borderId="1" fillId="4" fontId="3" numFmtId="10" xfId="0" applyAlignment="1" applyBorder="1" applyFont="1" applyNumberForma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1" fillId="5" fontId="6" numFmtId="0" xfId="0" applyAlignment="1" applyBorder="1" applyFill="1" applyFont="1">
      <alignment horizontal="left" readingOrder="0" vertical="center"/>
    </xf>
    <xf borderId="1" fillId="5" fontId="3" numFmtId="10" xfId="0" applyAlignment="1" applyBorder="1" applyFont="1" applyNumberFormat="1">
      <alignment horizontal="left" readingOrder="0" vertical="center"/>
    </xf>
    <xf borderId="1" fillId="2" fontId="3" numFmtId="10" xfId="0" applyAlignment="1" applyBorder="1" applyFont="1" applyNumberFormat="1">
      <alignment horizontal="left" readingOrder="0" vertical="center"/>
    </xf>
    <xf borderId="1" fillId="2" fontId="3" numFmtId="165" xfId="0" applyAlignment="1" applyBorder="1" applyFont="1" applyNumberForma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vertical="center"/>
    </xf>
    <xf borderId="1" fillId="0" fontId="3" numFmtId="164" xfId="0" applyAlignment="1" applyBorder="1" applyFont="1" applyNumberFormat="1">
      <alignment horizontal="left" readingOrder="0" vertical="center"/>
    </xf>
    <xf borderId="1" fillId="0" fontId="3" numFmtId="164" xfId="0" applyAlignment="1" applyBorder="1" applyFont="1" applyNumberFormat="1">
      <alignment horizontal="left" vertical="center"/>
    </xf>
    <xf borderId="2" fillId="0" fontId="3" numFmtId="0" xfId="0" applyAlignment="1" applyBorder="1" applyFont="1">
      <alignment horizontal="left" vertical="center"/>
    </xf>
    <xf borderId="3" fillId="0" fontId="8" numFmtId="0" xfId="0" applyBorder="1" applyFont="1"/>
    <xf borderId="1" fillId="0" fontId="9" numFmtId="0" xfId="0" applyAlignment="1" applyBorder="1" applyFont="1">
      <alignment horizontal="left" readingOrder="0" shrinkToFit="0" vertical="center" wrapText="1"/>
    </xf>
    <xf borderId="0" fillId="6" fontId="9" numFmtId="0" xfId="0" applyAlignment="1" applyFill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readingOrder="0" vertical="center"/>
    </xf>
    <xf borderId="0" fillId="6" fontId="3" numFmtId="0" xfId="0" applyAlignment="1" applyFont="1">
      <alignment horizontal="left" vertical="center"/>
    </xf>
    <xf borderId="2" fillId="7" fontId="3" numFmtId="0" xfId="0" applyAlignment="1" applyBorder="1" applyFill="1" applyFont="1">
      <alignment horizontal="left" readingOrder="0" vertical="center"/>
    </xf>
    <xf borderId="1" fillId="7" fontId="3" numFmtId="164" xfId="0" applyAlignment="1" applyBorder="1" applyFont="1" applyNumberFormat="1">
      <alignment horizontal="left" vertical="center"/>
    </xf>
    <xf borderId="0" fillId="6" fontId="3" numFmtId="164" xfId="0" applyAlignment="1" applyFont="1" applyNumberFormat="1">
      <alignment horizontal="left" vertical="center"/>
    </xf>
    <xf borderId="2" fillId="8" fontId="9" numFmtId="0" xfId="0" applyAlignment="1" applyBorder="1" applyFill="1" applyFont="1">
      <alignment horizontal="left" readingOrder="0" vertical="center"/>
    </xf>
    <xf borderId="1" fillId="8" fontId="9" numFmtId="164" xfId="0" applyAlignment="1" applyBorder="1" applyFont="1" applyNumberFormat="1">
      <alignment horizontal="left" vertical="center"/>
    </xf>
    <xf borderId="0" fillId="6" fontId="9" numFmtId="164" xfId="0" applyAlignment="1" applyFont="1" applyNumberFormat="1">
      <alignment horizontal="left" vertical="center"/>
    </xf>
    <xf borderId="4" fillId="9" fontId="10" numFmtId="0" xfId="0" applyAlignment="1" applyBorder="1" applyFill="1" applyFont="1">
      <alignment horizontal="left" readingOrder="0" vertical="center"/>
    </xf>
    <xf borderId="1" fillId="9" fontId="3" numFmtId="0" xfId="0" applyAlignment="1" applyBorder="1" applyFont="1">
      <alignment horizontal="left" readingOrder="0" vertical="center"/>
    </xf>
    <xf borderId="1" fillId="9" fontId="11" numFmtId="164" xfId="0" applyAlignment="1" applyBorder="1" applyFont="1" applyNumberFormat="1">
      <alignment horizontal="left" vertical="center"/>
    </xf>
    <xf borderId="0" fillId="6" fontId="11" numFmtId="164" xfId="0" applyAlignment="1" applyFont="1" applyNumberFormat="1">
      <alignment horizontal="left" vertical="center"/>
    </xf>
    <xf borderId="5" fillId="0" fontId="8" numFmtId="0" xfId="0" applyBorder="1" applyFont="1"/>
    <xf borderId="1" fillId="9" fontId="12" numFmtId="0" xfId="0" applyAlignment="1" applyBorder="1" applyFont="1">
      <alignment horizontal="left" readingOrder="0" vertical="center"/>
    </xf>
    <xf borderId="1" fillId="9" fontId="11" numFmtId="10" xfId="0" applyAlignment="1" applyBorder="1" applyFont="1" applyNumberFormat="1">
      <alignment horizontal="left" vertical="center"/>
    </xf>
    <xf borderId="0" fillId="6" fontId="11" numFmtId="10" xfId="0" applyAlignment="1" applyFont="1" applyNumberFormat="1">
      <alignment horizontal="left" vertical="center"/>
    </xf>
    <xf borderId="6" fillId="0" fontId="8" numFmtId="0" xfId="0" applyBorder="1" applyFont="1"/>
    <xf borderId="4" fillId="10" fontId="10" numFmtId="0" xfId="0" applyAlignment="1" applyBorder="1" applyFill="1" applyFont="1">
      <alignment horizontal="left" readingOrder="0" vertical="center"/>
    </xf>
    <xf borderId="1" fillId="10" fontId="3" numFmtId="0" xfId="0" applyAlignment="1" applyBorder="1" applyFont="1">
      <alignment horizontal="left" readingOrder="0" vertical="center"/>
    </xf>
    <xf borderId="1" fillId="10" fontId="11" numFmtId="164" xfId="0" applyAlignment="1" applyBorder="1" applyFont="1" applyNumberFormat="1">
      <alignment horizontal="left" vertical="center"/>
    </xf>
    <xf borderId="1" fillId="10" fontId="11" numFmtId="10" xfId="0" applyAlignment="1" applyBorder="1" applyFont="1" applyNumberFormat="1">
      <alignment horizontal="left" vertical="center"/>
    </xf>
    <xf borderId="1" fillId="11" fontId="13" numFmtId="0" xfId="0" applyAlignment="1" applyBorder="1" applyFill="1" applyFont="1">
      <alignment readingOrder="0"/>
    </xf>
    <xf borderId="1" fillId="11" fontId="14" numFmtId="164" xfId="0" applyAlignment="1" applyBorder="1" applyFont="1" applyNumberFormat="1">
      <alignment readingOrder="0"/>
    </xf>
    <xf borderId="1" fillId="12" fontId="15" numFmtId="0" xfId="0" applyAlignment="1" applyBorder="1" applyFill="1" applyFont="1">
      <alignment horizontal="left" readingOrder="0" vertical="bottom"/>
    </xf>
    <xf borderId="1" fillId="13" fontId="15" numFmtId="0" xfId="0" applyAlignment="1" applyBorder="1" applyFill="1" applyFont="1">
      <alignment horizontal="center" readingOrder="0" vertical="top"/>
    </xf>
    <xf borderId="0" fillId="0" fontId="16" numFmtId="0" xfId="0" applyFont="1"/>
    <xf borderId="0" fillId="3" fontId="17" numFmtId="0" xfId="0" applyAlignment="1" applyFont="1">
      <alignment readingOrder="0" shrinkToFit="0" wrapText="1"/>
    </xf>
    <xf borderId="0" fillId="0" fontId="16" numFmtId="10" xfId="0" applyFont="1" applyNumberFormat="1"/>
    <xf borderId="1" fillId="11" fontId="18" numFmtId="0" xfId="0" applyAlignment="1" applyBorder="1" applyFont="1">
      <alignment readingOrder="0"/>
    </xf>
    <xf borderId="1" fillId="11" fontId="16" numFmtId="0" xfId="0" applyAlignment="1" applyBorder="1" applyFont="1">
      <alignment readingOrder="0"/>
    </xf>
    <xf borderId="0" fillId="0" fontId="19" numFmtId="0" xfId="0" applyAlignment="1" applyFont="1">
      <alignment readingOrder="0" shrinkToFit="0" vertical="center" wrapText="1"/>
    </xf>
    <xf borderId="1" fillId="14" fontId="18" numFmtId="0" xfId="0" applyAlignment="1" applyBorder="1" applyFill="1" applyFont="1">
      <alignment readingOrder="0"/>
    </xf>
    <xf borderId="1" fillId="14" fontId="20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1" fillId="14" fontId="20" numFmtId="10" xfId="0" applyBorder="1" applyFont="1" applyNumberFormat="1"/>
    <xf borderId="1" fillId="14" fontId="20" numFmtId="10" xfId="0" applyAlignment="1" applyBorder="1" applyFont="1" applyNumberFormat="1">
      <alignment readingOrder="0"/>
    </xf>
    <xf borderId="1" fillId="14" fontId="20" numFmtId="164" xfId="0" applyAlignment="1" applyBorder="1" applyFont="1" applyNumberFormat="1">
      <alignment readingOrder="0"/>
    </xf>
    <xf borderId="1" fillId="15" fontId="18" numFmtId="0" xfId="0" applyAlignment="1" applyBorder="1" applyFill="1" applyFont="1">
      <alignment readingOrder="0"/>
    </xf>
    <xf borderId="1" fillId="15" fontId="16" numFmtId="10" xfId="0" applyAlignment="1" applyBorder="1" applyFont="1" applyNumberFormat="1">
      <alignment readingOrder="0"/>
    </xf>
    <xf borderId="1" fillId="15" fontId="16" numFmtId="164" xfId="0" applyAlignment="1" applyBorder="1" applyFont="1" applyNumberFormat="1">
      <alignment readingOrder="0"/>
    </xf>
    <xf borderId="1" fillId="14" fontId="20" numFmtId="165" xfId="0" applyAlignment="1" applyBorder="1" applyFont="1" applyNumberFormat="1">
      <alignment readingOrder="0"/>
    </xf>
    <xf borderId="0" fillId="0" fontId="16" numFmtId="0" xfId="0" applyAlignment="1" applyFont="1">
      <alignment readingOrder="0" shrinkToFit="0" vertical="center" wrapText="1"/>
    </xf>
    <xf borderId="1" fillId="0" fontId="18" numFmtId="0" xfId="0" applyAlignment="1" applyBorder="1" applyFont="1">
      <alignment readingOrder="0"/>
    </xf>
    <xf borderId="1" fillId="0" fontId="16" numFmtId="164" xfId="0" applyAlignment="1" applyBorder="1" applyFont="1" applyNumberFormat="1">
      <alignment readingOrder="0"/>
    </xf>
    <xf borderId="1" fillId="0" fontId="16" numFmtId="164" xfId="0" applyBorder="1" applyFont="1" applyNumberFormat="1"/>
    <xf borderId="0" fillId="0" fontId="16" numFmtId="0" xfId="0" applyAlignment="1" applyFont="1">
      <alignment readingOrder="0" shrinkToFit="0" wrapText="1"/>
    </xf>
    <xf borderId="2" fillId="0" fontId="16" numFmtId="0" xfId="0" applyBorder="1" applyFont="1"/>
    <xf borderId="1" fillId="0" fontId="21" numFmtId="0" xfId="0" applyAlignment="1" applyBorder="1" applyFont="1">
      <alignment horizontal="center" readingOrder="0" shrinkToFit="0" wrapText="1"/>
    </xf>
    <xf borderId="2" fillId="0" fontId="21" numFmtId="0" xfId="0" applyAlignment="1" applyBorder="1" applyFont="1">
      <alignment horizontal="center" readingOrder="0" shrinkToFit="0" wrapText="1"/>
    </xf>
    <xf borderId="7" fillId="6" fontId="21" numFmtId="0" xfId="0" applyAlignment="1" applyBorder="1" applyFont="1">
      <alignment horizontal="center" readingOrder="0" shrinkToFit="0" wrapText="1"/>
    </xf>
    <xf borderId="0" fillId="6" fontId="21" numFmtId="0" xfId="0" applyAlignment="1" applyFont="1">
      <alignment horizontal="center" readingOrder="0" shrinkToFit="0" wrapText="1"/>
    </xf>
    <xf borderId="2" fillId="0" fontId="16" numFmtId="0" xfId="0" applyAlignment="1" applyBorder="1" applyFont="1">
      <alignment readingOrder="0"/>
    </xf>
    <xf borderId="2" fillId="0" fontId="16" numFmtId="164" xfId="0" applyBorder="1" applyFont="1" applyNumberFormat="1"/>
    <xf borderId="7" fillId="6" fontId="16" numFmtId="0" xfId="0" applyBorder="1" applyFont="1"/>
    <xf borderId="0" fillId="6" fontId="16" numFmtId="0" xfId="0" applyFont="1"/>
    <xf borderId="2" fillId="7" fontId="16" numFmtId="0" xfId="0" applyAlignment="1" applyBorder="1" applyFont="1">
      <alignment readingOrder="0"/>
    </xf>
    <xf borderId="1" fillId="7" fontId="16" numFmtId="164" xfId="0" applyBorder="1" applyFont="1" applyNumberFormat="1"/>
    <xf borderId="2" fillId="7" fontId="16" numFmtId="164" xfId="0" applyBorder="1" applyFont="1" applyNumberFormat="1"/>
    <xf borderId="7" fillId="6" fontId="16" numFmtId="164" xfId="0" applyBorder="1" applyFont="1" applyNumberFormat="1"/>
    <xf borderId="0" fillId="6" fontId="16" numFmtId="164" xfId="0" applyFont="1" applyNumberFormat="1"/>
    <xf borderId="0" fillId="6" fontId="16" numFmtId="164" xfId="0" applyAlignment="1" applyFont="1" applyNumberFormat="1">
      <alignment vertical="center"/>
    </xf>
    <xf borderId="2" fillId="8" fontId="20" numFmtId="0" xfId="0" applyAlignment="1" applyBorder="1" applyFont="1">
      <alignment readingOrder="0"/>
    </xf>
    <xf borderId="1" fillId="8" fontId="20" numFmtId="164" xfId="0" applyBorder="1" applyFont="1" applyNumberFormat="1"/>
    <xf borderId="2" fillId="8" fontId="20" numFmtId="164" xfId="0" applyBorder="1" applyFont="1" applyNumberFormat="1"/>
    <xf borderId="7" fillId="6" fontId="20" numFmtId="164" xfId="0" applyBorder="1" applyFont="1" applyNumberFormat="1"/>
    <xf borderId="0" fillId="6" fontId="20" numFmtId="164" xfId="0" applyFont="1" applyNumberFormat="1"/>
    <xf borderId="4" fillId="9" fontId="22" numFmtId="0" xfId="0" applyAlignment="1" applyBorder="1" applyFont="1">
      <alignment horizontal="center" readingOrder="0" vertical="center"/>
    </xf>
    <xf borderId="1" fillId="9" fontId="16" numFmtId="0" xfId="0" applyAlignment="1" applyBorder="1" applyFont="1">
      <alignment readingOrder="0"/>
    </xf>
    <xf borderId="1" fillId="9" fontId="23" numFmtId="164" xfId="0" applyBorder="1" applyFont="1" applyNumberFormat="1"/>
    <xf borderId="2" fillId="9" fontId="23" numFmtId="164" xfId="0" applyBorder="1" applyFont="1" applyNumberFormat="1"/>
    <xf borderId="7" fillId="6" fontId="23" numFmtId="164" xfId="0" applyBorder="1" applyFont="1" applyNumberFormat="1"/>
    <xf borderId="0" fillId="6" fontId="23" numFmtId="164" xfId="0" applyFont="1" applyNumberFormat="1"/>
    <xf borderId="1" fillId="9" fontId="24" numFmtId="0" xfId="0" applyAlignment="1" applyBorder="1" applyFont="1">
      <alignment readingOrder="0"/>
    </xf>
    <xf borderId="1" fillId="9" fontId="23" numFmtId="10" xfId="0" applyBorder="1" applyFont="1" applyNumberFormat="1"/>
    <xf borderId="2" fillId="9" fontId="23" numFmtId="10" xfId="0" applyBorder="1" applyFont="1" applyNumberFormat="1"/>
    <xf borderId="7" fillId="6" fontId="23" numFmtId="10" xfId="0" applyBorder="1" applyFont="1" applyNumberFormat="1"/>
    <xf borderId="0" fillId="6" fontId="23" numFmtId="10" xfId="0" applyFont="1" applyNumberFormat="1"/>
    <xf borderId="4" fillId="10" fontId="22" numFmtId="0" xfId="0" applyAlignment="1" applyBorder="1" applyFont="1">
      <alignment horizontal="center" readingOrder="0" vertical="center"/>
    </xf>
    <xf borderId="1" fillId="10" fontId="16" numFmtId="0" xfId="0" applyAlignment="1" applyBorder="1" applyFont="1">
      <alignment readingOrder="0"/>
    </xf>
    <xf borderId="1" fillId="10" fontId="23" numFmtId="164" xfId="0" applyBorder="1" applyFont="1" applyNumberFormat="1"/>
    <xf borderId="2" fillId="10" fontId="23" numFmtId="164" xfId="0" applyBorder="1" applyFont="1" applyNumberFormat="1"/>
    <xf borderId="1" fillId="10" fontId="23" numFmtId="10" xfId="0" applyBorder="1" applyFont="1" applyNumberFormat="1"/>
    <xf borderId="2" fillId="10" fontId="23" numFmtId="10" xfId="0" applyBorder="1" applyFont="1" applyNumberFormat="1"/>
    <xf borderId="0" fillId="12" fontId="25" numFmtId="0" xfId="0" applyAlignment="1" applyFont="1">
      <alignment horizontal="center" readingOrder="0" shrinkToFit="0" vertical="center" wrapText="0"/>
    </xf>
    <xf borderId="0" fillId="12" fontId="25" numFmtId="0" xfId="0" applyAlignment="1" applyFont="1">
      <alignment horizontal="center" readingOrder="0" shrinkToFit="0" vertical="center" wrapText="1"/>
    </xf>
    <xf borderId="8" fillId="12" fontId="25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horizontal="center" vertical="center"/>
    </xf>
    <xf borderId="9" fillId="16" fontId="27" numFmtId="0" xfId="0" applyAlignment="1" applyBorder="1" applyFill="1" applyFont="1">
      <alignment horizontal="center" readingOrder="0" vertical="center"/>
    </xf>
    <xf borderId="0" fillId="0" fontId="16" numFmtId="0" xfId="0" applyAlignment="1" applyFont="1">
      <alignment vertical="center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" fillId="0" fontId="26" numFmtId="10" xfId="0" applyAlignment="1" applyBorder="1" applyFont="1" applyNumberFormat="1">
      <alignment horizontal="center" readingOrder="0" shrinkToFit="0" vertical="center" wrapText="0"/>
    </xf>
    <xf borderId="5" fillId="0" fontId="26" numFmtId="0" xfId="0" applyAlignment="1" applyBorder="1" applyFont="1">
      <alignment horizontal="center" readingOrder="0" shrinkToFit="0" vertical="center" wrapText="0"/>
    </xf>
    <xf borderId="8" fillId="0" fontId="26" numFmtId="0" xfId="0" applyAlignment="1" applyBorder="1" applyFont="1">
      <alignment horizontal="center" readingOrder="0" shrinkToFit="0" vertical="center" wrapText="0"/>
    </xf>
    <xf borderId="8" fillId="0" fontId="26" numFmtId="0" xfId="0" applyAlignment="1" applyBorder="1" applyFont="1">
      <alignment horizontal="center" readingOrder="0" shrinkToFit="0" vertical="center" wrapText="1"/>
    </xf>
    <xf borderId="8" fillId="0" fontId="26" numFmtId="10" xfId="0" applyAlignment="1" applyBorder="1" applyFont="1" applyNumberFormat="1">
      <alignment horizontal="center" readingOrder="0" shrinkToFit="0" vertical="center" wrapText="0"/>
    </xf>
    <xf borderId="4" fillId="0" fontId="26" numFmtId="0" xfId="0" applyAlignment="1" applyBorder="1" applyFont="1">
      <alignment horizontal="center" readingOrder="0" shrinkToFit="0" vertical="center" wrapText="0"/>
    </xf>
    <xf borderId="9" fillId="0" fontId="26" numFmtId="0" xfId="0" applyAlignment="1" applyBorder="1" applyFont="1">
      <alignment horizontal="center" readingOrder="0" shrinkToFit="0" vertical="center" wrapText="0"/>
    </xf>
    <xf borderId="9" fillId="0" fontId="26" numFmtId="0" xfId="0" applyAlignment="1" applyBorder="1" applyFont="1">
      <alignment horizontal="center" readingOrder="0" shrinkToFit="0" vertical="center" wrapText="1"/>
    </xf>
    <xf borderId="9" fillId="0" fontId="26" numFmtId="10" xfId="0" applyAlignment="1" applyBorder="1" applyFont="1" applyNumberFormat="1">
      <alignment horizontal="center" readingOrder="0" shrinkToFit="0" vertical="center" wrapText="0"/>
    </xf>
    <xf borderId="9" fillId="0" fontId="26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center" readingOrder="0" shrinkToFit="0" vertical="center" wrapText="0"/>
    </xf>
    <xf borderId="0" fillId="0" fontId="26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26" numFmtId="10" xfId="0" applyAlignment="1" applyFont="1" applyNumberFormat="1">
      <alignment horizontal="center" readingOrder="0" shrinkToFit="0" vertical="center" wrapText="0"/>
    </xf>
    <xf borderId="0" fillId="0" fontId="26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readingOrder="0" shrinkToFit="0" vertical="center" wrapText="0"/>
    </xf>
    <xf borderId="0" fillId="0" fontId="26" numFmtId="0" xfId="0" applyAlignment="1" applyFont="1">
      <alignment horizontal="center" readingOrder="0" vertical="center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horizontal="center" shrinkToFit="0" vertical="center" wrapText="1"/>
    </xf>
    <xf borderId="1" fillId="0" fontId="29" numFmtId="0" xfId="0" applyAlignment="1" applyBorder="1" applyFont="1">
      <alignment horizontal="right" readingOrder="0" shrinkToFit="0" vertical="top" wrapText="0"/>
    </xf>
    <xf borderId="1" fillId="0" fontId="30" numFmtId="0" xfId="0" applyAlignment="1" applyBorder="1" applyFont="1">
      <alignment horizontal="left" readingOrder="0" vertical="top"/>
    </xf>
    <xf borderId="1" fillId="0" fontId="31" numFmtId="10" xfId="0" applyAlignment="1" applyBorder="1" applyFont="1" applyNumberFormat="1">
      <alignment horizontal="left" vertical="bottom"/>
    </xf>
    <xf borderId="1" fillId="0" fontId="29" numFmtId="10" xfId="0" applyAlignment="1" applyBorder="1" applyFont="1" applyNumberFormat="1">
      <alignment horizontal="center" readingOrder="0" shrinkToFit="0" vertical="top" wrapText="0"/>
    </xf>
    <xf borderId="1" fillId="0" fontId="31" numFmtId="0" xfId="0" applyAlignment="1" applyBorder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BẢNG TÍNH GIÁ SHOP MAL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1:M173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ẢNG TÍNH GIÁ SHOP MAL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6.25"/>
    <col customWidth="1" min="2" max="2" width="25.0"/>
    <col customWidth="1" min="3" max="3" width="33.88"/>
    <col customWidth="1" min="4" max="4" width="26.13"/>
    <col customWidth="1" min="5" max="5" width="29.5"/>
    <col customWidth="1" min="6" max="6" width="25.5"/>
    <col customWidth="1" min="8" max="8" width="6.75"/>
    <col customWidth="1" min="9" max="12" width="25.63"/>
    <col customWidth="1" min="13" max="13" width="15.13"/>
  </cols>
  <sheetData>
    <row r="1">
      <c r="A1" s="1" t="s">
        <v>0</v>
      </c>
      <c r="B1" s="2">
        <v>50000.0</v>
      </c>
      <c r="C1" s="3"/>
      <c r="D1" s="3"/>
      <c r="E1" s="3"/>
      <c r="F1" s="3"/>
      <c r="G1" s="3"/>
      <c r="H1" s="4" t="s">
        <v>1</v>
      </c>
      <c r="I1" s="4" t="s">
        <v>2</v>
      </c>
      <c r="J1" s="4" t="s">
        <v>3</v>
      </c>
      <c r="K1" s="4" t="s">
        <v>4</v>
      </c>
      <c r="L1" s="5"/>
      <c r="M1" s="5" t="s">
        <v>5</v>
      </c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1" t="s">
        <v>6</v>
      </c>
      <c r="B2" s="2">
        <v>100000.0</v>
      </c>
      <c r="C2" s="3"/>
      <c r="D2" s="6"/>
      <c r="G2" s="3"/>
      <c r="H2" s="7">
        <f>IFERROR(__xludf.DUMMYFUNCTION("FILTER(DuLieuGoc!A:F, DuLieuGoc!B:B=B3)"),194.0)</f>
        <v>194</v>
      </c>
      <c r="I2" s="7" t="str">
        <f>IFERROR(__xludf.DUMMYFUNCTION("""COMPUTED_VALUE"""),"Điện Thoại &amp; Phụ Kiện")</f>
        <v>Điện Thoại &amp; Phụ Kiện</v>
      </c>
      <c r="J2" s="7" t="str">
        <f>IFERROR(__xludf.DUMMYFUNCTION("""COMPUTED_VALUE"""),"Phụ kiện")</f>
        <v>Phụ kiện</v>
      </c>
      <c r="K2" s="7" t="str">
        <f>IFERROR(__xludf.DUMMYFUNCTION("""COMPUTED_VALUE"""),"Cáp, sạc &amp; bộ chuyển đổi")</f>
        <v>Cáp, sạc &amp; bộ chuyển đổi</v>
      </c>
      <c r="L2" s="7"/>
      <c r="M2" s="8">
        <f>IFERROR(__xludf.DUMMYFUNCTION("""COMPUTED_VALUE"""),0.126)</f>
        <v>0.126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9" t="s">
        <v>2</v>
      </c>
      <c r="B3" s="10" t="s">
        <v>7</v>
      </c>
      <c r="C3" s="11" t="s">
        <v>8</v>
      </c>
      <c r="G3" s="3"/>
      <c r="H3" s="7">
        <f>IFERROR(__xludf.DUMMYFUNCTION("""COMPUTED_VALUE"""),195.0)</f>
        <v>195</v>
      </c>
      <c r="I3" s="7" t="str">
        <f>IFERROR(__xludf.DUMMYFUNCTION("""COMPUTED_VALUE"""),"Điện Thoại &amp; Phụ Kiện")</f>
        <v>Điện Thoại &amp; Phụ Kiện</v>
      </c>
      <c r="J3" s="7" t="str">
        <f>IFERROR(__xludf.DUMMYFUNCTION("""COMPUTED_VALUE"""),"Phụ kiện")</f>
        <v>Phụ kiện</v>
      </c>
      <c r="K3" s="7" t="str">
        <f>IFERROR(__xludf.DUMMYFUNCTION("""COMPUTED_VALUE"""),"Vỏ bao, Ốp lưng &amp; Miếng dán")</f>
        <v>Vỏ bao, Ốp lưng &amp; Miếng dán</v>
      </c>
      <c r="L3" s="7"/>
      <c r="M3" s="8">
        <f>IFERROR(__xludf.DUMMYFUNCTION("""COMPUTED_VALUE"""),0.126)</f>
        <v>0.126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9" t="s">
        <v>3</v>
      </c>
      <c r="B4" s="10" t="s">
        <v>9</v>
      </c>
      <c r="G4" s="3"/>
      <c r="H4" s="7">
        <f>IFERROR(__xludf.DUMMYFUNCTION("""COMPUTED_VALUE"""),196.0)</f>
        <v>196</v>
      </c>
      <c r="I4" s="7" t="str">
        <f>IFERROR(__xludf.DUMMYFUNCTION("""COMPUTED_VALUE"""),"Điện Thoại &amp; Phụ Kiện")</f>
        <v>Điện Thoại &amp; Phụ Kiện</v>
      </c>
      <c r="J4" s="7" t="str">
        <f>IFERROR(__xludf.DUMMYFUNCTION("""COMPUTED_VALUE"""),"Phụ kiện")</f>
        <v>Phụ kiện</v>
      </c>
      <c r="K4" s="7" t="str">
        <f>IFERROR(__xludf.DUMMYFUNCTION("""COMPUTED_VALUE"""),"Thiết bị trình chiếu")</f>
        <v>Thiết bị trình chiếu</v>
      </c>
      <c r="L4" s="7"/>
      <c r="M4" s="8">
        <f>IFERROR(__xludf.DUMMYFUNCTION("""COMPUTED_VALUE"""),0.126)</f>
        <v>0.126</v>
      </c>
      <c r="N4" s="3"/>
      <c r="O4" s="3"/>
      <c r="P4" s="3"/>
      <c r="Q4" s="3"/>
      <c r="R4" s="3"/>
      <c r="S4" s="3"/>
      <c r="T4" s="3"/>
      <c r="U4" s="3"/>
      <c r="V4" s="3"/>
      <c r="W4" s="3"/>
    </row>
    <row r="5" ht="16.5" customHeight="1">
      <c r="A5" s="9" t="s">
        <v>10</v>
      </c>
      <c r="B5" s="12">
        <v>195.0</v>
      </c>
      <c r="C5" s="3"/>
      <c r="G5" s="3"/>
      <c r="H5" s="7">
        <f>IFERROR(__xludf.DUMMYFUNCTION("""COMPUTED_VALUE"""),197.0)</f>
        <v>197</v>
      </c>
      <c r="I5" s="7" t="str">
        <f>IFERROR(__xludf.DUMMYFUNCTION("""COMPUTED_VALUE"""),"Điện Thoại &amp; Phụ Kiện")</f>
        <v>Điện Thoại &amp; Phụ Kiện</v>
      </c>
      <c r="J5" s="7" t="str">
        <f>IFERROR(__xludf.DUMMYFUNCTION("""COMPUTED_VALUE"""),"Phụ kiện")</f>
        <v>Phụ kiện</v>
      </c>
      <c r="K5" s="7" t="str">
        <f>IFERROR(__xludf.DUMMYFUNCTION("""COMPUTED_VALUE"""),"Thẻ nhớ")</f>
        <v>Thẻ nhớ</v>
      </c>
      <c r="L5" s="7"/>
      <c r="M5" s="8">
        <f>IFERROR(__xludf.DUMMYFUNCTION("""COMPUTED_VALUE"""),0.126)</f>
        <v>0.126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ht="16.5" customHeight="1">
      <c r="A6" s="13" t="s">
        <v>11</v>
      </c>
      <c r="B6" s="14">
        <v>3000.0</v>
      </c>
      <c r="C6" s="3"/>
      <c r="G6" s="3"/>
      <c r="H6" s="7">
        <f>IFERROR(__xludf.DUMMYFUNCTION("""COMPUTED_VALUE"""),198.0)</f>
        <v>198</v>
      </c>
      <c r="I6" s="7" t="str">
        <f>IFERROR(__xludf.DUMMYFUNCTION("""COMPUTED_VALUE"""),"Điện Thoại &amp; Phụ Kiện")</f>
        <v>Điện Thoại &amp; Phụ Kiện</v>
      </c>
      <c r="J6" s="7" t="str">
        <f>IFERROR(__xludf.DUMMYFUNCTION("""COMPUTED_VALUE"""),"Phụ kiện")</f>
        <v>Phụ kiện</v>
      </c>
      <c r="K6" s="7" t="str">
        <f>IFERROR(__xludf.DUMMYFUNCTION("""COMPUTED_VALUE"""),"Đèn flash điện thoại &amp; Đèn selfie")</f>
        <v>Đèn flash điện thoại &amp; Đèn selfie</v>
      </c>
      <c r="L6" s="7"/>
      <c r="M6" s="8">
        <f>IFERROR(__xludf.DUMMYFUNCTION("""COMPUTED_VALUE"""),0.126)</f>
        <v>0.126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ht="16.5" customHeight="1">
      <c r="A7" s="13" t="s">
        <v>12</v>
      </c>
      <c r="B7" s="15">
        <f>IFERROR(__xludf.DUMMYFUNCTION("IF(AND(B3&lt;&gt;"""", B4&lt;&gt;""""), 
   INDEX(FILTER(DuLieuGoc!F:F, DuLieuGoc!B:B=B3, DuLieuGoc!C:C=B4,DuLieuGoc!A:A=B5),1),
   """")"),0.126)</f>
        <v>0.126</v>
      </c>
      <c r="C7" s="3"/>
      <c r="G7" s="3"/>
      <c r="H7" s="7">
        <f>IFERROR(__xludf.DUMMYFUNCTION("""COMPUTED_VALUE"""),199.0)</f>
        <v>199</v>
      </c>
      <c r="I7" s="7" t="str">
        <f>IFERROR(__xludf.DUMMYFUNCTION("""COMPUTED_VALUE"""),"Điện Thoại &amp; Phụ Kiện")</f>
        <v>Điện Thoại &amp; Phụ Kiện</v>
      </c>
      <c r="J7" s="7" t="str">
        <f>IFERROR(__xludf.DUMMYFUNCTION("""COMPUTED_VALUE"""),"Phụ kiện")</f>
        <v>Phụ kiện</v>
      </c>
      <c r="K7" s="7" t="str">
        <f>IFERROR(__xludf.DUMMYFUNCTION("""COMPUTED_VALUE"""),"Ống kính điện thoại")</f>
        <v>Ống kính điện thoại</v>
      </c>
      <c r="L7" s="7"/>
      <c r="M7" s="8">
        <f>IFERROR(__xludf.DUMMYFUNCTION("""COMPUTED_VALUE"""),0.126)</f>
        <v>0.126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13" t="s">
        <v>13</v>
      </c>
      <c r="B8" s="16">
        <v>0.0491</v>
      </c>
      <c r="C8" s="17" t="s">
        <v>14</v>
      </c>
      <c r="D8" s="3"/>
      <c r="E8" s="3"/>
      <c r="F8" s="3"/>
      <c r="G8" s="3"/>
      <c r="H8" s="7">
        <f>IFERROR(__xludf.DUMMYFUNCTION("""COMPUTED_VALUE"""),200.0)</f>
        <v>200</v>
      </c>
      <c r="I8" s="7" t="str">
        <f>IFERROR(__xludf.DUMMYFUNCTION("""COMPUTED_VALUE"""),"Điện Thoại &amp; Phụ Kiện")</f>
        <v>Điện Thoại &amp; Phụ Kiện</v>
      </c>
      <c r="J8" s="7" t="str">
        <f>IFERROR(__xludf.DUMMYFUNCTION("""COMPUTED_VALUE"""),"Phụ kiện")</f>
        <v>Phụ kiện</v>
      </c>
      <c r="K8" s="7" t="str">
        <f>IFERROR(__xludf.DUMMYFUNCTION("""COMPUTED_VALUE"""),"Túi đựng điện thoại")</f>
        <v>Túi đựng điện thoại</v>
      </c>
      <c r="L8" s="7"/>
      <c r="M8" s="8">
        <f>IFERROR(__xludf.DUMMYFUNCTION("""COMPUTED_VALUE"""),0.126)</f>
        <v>0.126</v>
      </c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18" t="s">
        <v>15</v>
      </c>
      <c r="B9" s="19">
        <v>0.04</v>
      </c>
      <c r="C9" s="17"/>
      <c r="E9" s="3"/>
      <c r="F9" s="3"/>
      <c r="G9" s="3"/>
      <c r="H9" s="7">
        <f>IFERROR(__xludf.DUMMYFUNCTION("""COMPUTED_VALUE"""),201.0)</f>
        <v>201</v>
      </c>
      <c r="I9" s="7" t="str">
        <f>IFERROR(__xludf.DUMMYFUNCTION("""COMPUTED_VALUE"""),"Điện Thoại &amp; Phụ Kiện")</f>
        <v>Điện Thoại &amp; Phụ Kiện</v>
      </c>
      <c r="J9" s="7" t="str">
        <f>IFERROR(__xludf.DUMMYFUNCTION("""COMPUTED_VALUE"""),"Phụ kiện")</f>
        <v>Phụ kiện</v>
      </c>
      <c r="K9" s="7" t="str">
        <f>IFERROR(__xludf.DUMMYFUNCTION("""COMPUTED_VALUE"""),"Khác")</f>
        <v>Khác</v>
      </c>
      <c r="L9" s="7"/>
      <c r="M9" s="8">
        <f>IFERROR(__xludf.DUMMYFUNCTION("""COMPUTED_VALUE"""),0.126)</f>
        <v>0.126</v>
      </c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13" t="s">
        <v>16</v>
      </c>
      <c r="B10" s="14">
        <v>15000.0</v>
      </c>
      <c r="C10" s="17" t="s">
        <v>17</v>
      </c>
      <c r="F10" s="3"/>
      <c r="G10" s="3"/>
      <c r="H10" s="7">
        <f>IFERROR(__xludf.DUMMYFUNCTION("""COMPUTED_VALUE"""),202.0)</f>
        <v>202</v>
      </c>
      <c r="I10" s="7" t="str">
        <f>IFERROR(__xludf.DUMMYFUNCTION("""COMPUTED_VALUE"""),"Điện Thoại &amp; Phụ Kiện")</f>
        <v>Điện Thoại &amp; Phụ Kiện</v>
      </c>
      <c r="J10" s="7" t="str">
        <f>IFERROR(__xludf.DUMMYFUNCTION("""COMPUTED_VALUE"""),"Phụ kiện")</f>
        <v>Phụ kiện</v>
      </c>
      <c r="K10" s="7" t="str">
        <f>IFERROR(__xludf.DUMMYFUNCTION("""COMPUTED_VALUE"""),"Kẹp điện thoại")</f>
        <v>Kẹp điện thoại</v>
      </c>
      <c r="L10" s="7"/>
      <c r="M10" s="8">
        <f>IFERROR(__xludf.DUMMYFUNCTION("""COMPUTED_VALUE"""),0.126)</f>
        <v>0.126</v>
      </c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13" t="s">
        <v>18</v>
      </c>
      <c r="B11" s="14">
        <v>1620.0</v>
      </c>
      <c r="C11" s="17"/>
      <c r="D11" s="3"/>
      <c r="E11" s="3"/>
      <c r="F11" s="3"/>
      <c r="G11" s="3"/>
      <c r="H11" s="7">
        <f>IFERROR(__xludf.DUMMYFUNCTION("""COMPUTED_VALUE"""),203.0)</f>
        <v>203</v>
      </c>
      <c r="I11" s="7" t="str">
        <f>IFERROR(__xludf.DUMMYFUNCTION("""COMPUTED_VALUE"""),"Điện Thoại &amp; Phụ Kiện")</f>
        <v>Điện Thoại &amp; Phụ Kiện</v>
      </c>
      <c r="J11" s="7" t="str">
        <f>IFERROR(__xludf.DUMMYFUNCTION("""COMPUTED_VALUE"""),"Phụ kiện")</f>
        <v>Phụ kiện</v>
      </c>
      <c r="K11" s="7" t="str">
        <f>IFERROR(__xludf.DUMMYFUNCTION("""COMPUTED_VALUE"""),"Dây đeo điện thoại &amp; Móc khóa")</f>
        <v>Dây đeo điện thoại &amp; Móc khóa</v>
      </c>
      <c r="L11" s="7"/>
      <c r="M11" s="8">
        <f>IFERROR(__xludf.DUMMYFUNCTION("""COMPUTED_VALUE"""),0.126)</f>
        <v>0.126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9" t="s">
        <v>19</v>
      </c>
      <c r="B12" s="20">
        <v>0.1</v>
      </c>
      <c r="C12" s="17" t="s">
        <v>20</v>
      </c>
      <c r="D12" s="3"/>
      <c r="E12" s="3"/>
      <c r="F12" s="3"/>
      <c r="G12" s="3"/>
      <c r="H12" s="7">
        <f>IFERROR(__xludf.DUMMYFUNCTION("""COMPUTED_VALUE"""),204.0)</f>
        <v>204</v>
      </c>
      <c r="I12" s="7" t="str">
        <f>IFERROR(__xludf.DUMMYFUNCTION("""COMPUTED_VALUE"""),"Điện Thoại &amp; Phụ Kiện")</f>
        <v>Điện Thoại &amp; Phụ Kiện</v>
      </c>
      <c r="J12" s="7" t="str">
        <f>IFERROR(__xludf.DUMMYFUNCTION("""COMPUTED_VALUE"""),"Phụ kiện")</f>
        <v>Phụ kiện</v>
      </c>
      <c r="K12" s="7" t="str">
        <f>IFERROR(__xludf.DUMMYFUNCTION("""COMPUTED_VALUE"""),"Bộ phát Wifi bỏ túi")</f>
        <v>Bộ phát Wifi bỏ túi</v>
      </c>
      <c r="L12" s="7"/>
      <c r="M12" s="8">
        <f>IFERROR(__xludf.DUMMYFUNCTION("""COMPUTED_VALUE"""),0.126)</f>
        <v>0.126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9" t="s">
        <v>21</v>
      </c>
      <c r="B13" s="21"/>
      <c r="C13" s="17" t="s">
        <v>22</v>
      </c>
      <c r="D13" s="3"/>
      <c r="E13" s="3"/>
      <c r="F13" s="3"/>
      <c r="G13" s="3"/>
      <c r="H13" s="7">
        <f>IFERROR(__xludf.DUMMYFUNCTION("""COMPUTED_VALUE"""),205.0)</f>
        <v>205</v>
      </c>
      <c r="I13" s="7" t="str">
        <f>IFERROR(__xludf.DUMMYFUNCTION("""COMPUTED_VALUE"""),"Điện Thoại &amp; Phụ Kiện")</f>
        <v>Điện Thoại &amp; Phụ Kiện</v>
      </c>
      <c r="J13" s="7" t="str">
        <f>IFERROR(__xludf.DUMMYFUNCTION("""COMPUTED_VALUE"""),"Phụ kiện")</f>
        <v>Phụ kiện</v>
      </c>
      <c r="K13" s="7" t="str">
        <f>IFERROR(__xludf.DUMMYFUNCTION("""COMPUTED_VALUE"""),"Sạc dự phòng &amp; Pin")</f>
        <v>Sạc dự phòng &amp; Pin</v>
      </c>
      <c r="L13" s="7"/>
      <c r="M13" s="8">
        <f>IFERROR(__xludf.DUMMYFUNCTION("""COMPUTED_VALUE"""),0.126)</f>
        <v>0.126</v>
      </c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13" t="s">
        <v>23</v>
      </c>
      <c r="B14" s="16">
        <v>0.015</v>
      </c>
      <c r="C14" s="3"/>
      <c r="D14" s="3"/>
      <c r="E14" s="3"/>
      <c r="F14" s="3"/>
      <c r="G14" s="3"/>
      <c r="H14" s="7">
        <f>IFERROR(__xludf.DUMMYFUNCTION("""COMPUTED_VALUE"""),206.0)</f>
        <v>206</v>
      </c>
      <c r="I14" s="7" t="str">
        <f>IFERROR(__xludf.DUMMYFUNCTION("""COMPUTED_VALUE"""),"Điện Thoại &amp; Phụ Kiện")</f>
        <v>Điện Thoại &amp; Phụ Kiện</v>
      </c>
      <c r="J14" s="7" t="str">
        <f>IFERROR(__xludf.DUMMYFUNCTION("""COMPUTED_VALUE"""),"Phụ kiện")</f>
        <v>Phụ kiện</v>
      </c>
      <c r="K14" s="7" t="str">
        <f>IFERROR(__xludf.DUMMYFUNCTION("""COMPUTED_VALUE"""),"Miếng dán màn hình")</f>
        <v>Miếng dán màn hình</v>
      </c>
      <c r="L14" s="7"/>
      <c r="M14" s="8">
        <f>IFERROR(__xludf.DUMMYFUNCTION("""COMPUTED_VALUE"""),0.126)</f>
        <v>0.126</v>
      </c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9" t="s">
        <v>24</v>
      </c>
      <c r="B15" s="10">
        <v>0.1</v>
      </c>
      <c r="C15" s="22" t="s">
        <v>25</v>
      </c>
      <c r="E15" s="3"/>
      <c r="F15" s="3"/>
      <c r="G15" s="3"/>
      <c r="H15" s="7">
        <f>IFERROR(__xludf.DUMMYFUNCTION("""COMPUTED_VALUE"""),207.0)</f>
        <v>207</v>
      </c>
      <c r="I15" s="7" t="str">
        <f>IFERROR(__xludf.DUMMYFUNCTION("""COMPUTED_VALUE"""),"Điện Thoại &amp; Phụ Kiện")</f>
        <v>Điện Thoại &amp; Phụ Kiện</v>
      </c>
      <c r="J15" s="7" t="str">
        <f>IFERROR(__xludf.DUMMYFUNCTION("""COMPUTED_VALUE"""),"Phụ kiện")</f>
        <v>Phụ kiện</v>
      </c>
      <c r="K15" s="7" t="str">
        <f>IFERROR(__xludf.DUMMYFUNCTION("""COMPUTED_VALUE"""),"Phụ kiện selfie")</f>
        <v>Phụ kiện selfie</v>
      </c>
      <c r="L15" s="7"/>
      <c r="M15" s="8">
        <f>IFERROR(__xludf.DUMMYFUNCTION("""COMPUTED_VALUE"""),0.126)</f>
        <v>0.126</v>
      </c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23" t="s">
        <v>26</v>
      </c>
      <c r="B16" s="24">
        <v>50000.0</v>
      </c>
      <c r="E16" s="3"/>
      <c r="F16" s="3"/>
      <c r="G16" s="3"/>
      <c r="H16" s="7">
        <f>IFERROR(__xludf.DUMMYFUNCTION("""COMPUTED_VALUE"""),208.0)</f>
        <v>208</v>
      </c>
      <c r="I16" s="7" t="str">
        <f>IFERROR(__xludf.DUMMYFUNCTION("""COMPUTED_VALUE"""),"Điện Thoại &amp; Phụ Kiện")</f>
        <v>Điện Thoại &amp; Phụ Kiện</v>
      </c>
      <c r="J16" s="7" t="str">
        <f>IFERROR(__xludf.DUMMYFUNCTION("""COMPUTED_VALUE"""),"Phụ kiện")</f>
        <v>Phụ kiện</v>
      </c>
      <c r="K16" s="7" t="str">
        <f>IFERROR(__xludf.DUMMYFUNCTION("""COMPUTED_VALUE"""),"Bút cảm ứng")</f>
        <v>Bút cảm ứng</v>
      </c>
      <c r="L16" s="7"/>
      <c r="M16" s="8">
        <f>IFERROR(__xludf.DUMMYFUNCTION("""COMPUTED_VALUE"""),0.126)</f>
        <v>0.126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23" t="s">
        <v>27</v>
      </c>
      <c r="B17" s="25">
        <f>(B16*B15)/(1-B15)</f>
        <v>5555.555556</v>
      </c>
      <c r="C17" s="22" t="s">
        <v>28</v>
      </c>
      <c r="E17" s="3"/>
      <c r="F17" s="3"/>
      <c r="G17" s="3"/>
      <c r="H17" s="7">
        <f>IFERROR(__xludf.DUMMYFUNCTION("""COMPUTED_VALUE"""),209.0)</f>
        <v>209</v>
      </c>
      <c r="I17" s="7" t="str">
        <f>IFERROR(__xludf.DUMMYFUNCTION("""COMPUTED_VALUE"""),"Điện Thoại &amp; Phụ Kiện")</f>
        <v>Điện Thoại &amp; Phụ Kiện</v>
      </c>
      <c r="J17" s="7" t="str">
        <f>IFERROR(__xludf.DUMMYFUNCTION("""COMPUTED_VALUE"""),"Phụ kiện")</f>
        <v>Phụ kiện</v>
      </c>
      <c r="K17" s="7" t="str">
        <f>IFERROR(__xludf.DUMMYFUNCTION("""COMPUTED_VALUE"""),"Quạt USB &amp; Quạt điện thoại")</f>
        <v>Quạt USB &amp; Quạt điện thoại</v>
      </c>
      <c r="L17" s="7"/>
      <c r="M17" s="8">
        <f>IFERROR(__xludf.DUMMYFUNCTION("""COMPUTED_VALUE"""),0.126)</f>
        <v>0.126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3"/>
      <c r="C18" s="3"/>
      <c r="D18" s="3"/>
      <c r="E18" s="3"/>
      <c r="F18" s="3"/>
      <c r="G18" s="3"/>
      <c r="H18" s="7">
        <f>IFERROR(__xludf.DUMMYFUNCTION("""COMPUTED_VALUE"""),210.0)</f>
        <v>210</v>
      </c>
      <c r="I18" s="7" t="str">
        <f>IFERROR(__xludf.DUMMYFUNCTION("""COMPUTED_VALUE"""),"Điện Thoại &amp; Phụ Kiện")</f>
        <v>Điện Thoại &amp; Phụ Kiện</v>
      </c>
      <c r="J18" s="7" t="str">
        <f>IFERROR(__xludf.DUMMYFUNCTION("""COMPUTED_VALUE"""),"Phụ kiện")</f>
        <v>Phụ kiện</v>
      </c>
      <c r="K18" s="7" t="str">
        <f>IFERROR(__xludf.DUMMYFUNCTION("""COMPUTED_VALUE"""),"Đèn USB &amp; Đèn điện thoại")</f>
        <v>Đèn USB &amp; Đèn điện thoại</v>
      </c>
      <c r="L18" s="7"/>
      <c r="M18" s="8">
        <f>IFERROR(__xludf.DUMMYFUNCTION("""COMPUTED_VALUE"""),0.126)</f>
        <v>0.126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3"/>
      <c r="C19" s="3"/>
      <c r="D19" s="3"/>
      <c r="E19" s="3"/>
      <c r="F19" s="3"/>
      <c r="G19" s="3"/>
      <c r="H19" s="7">
        <f>IFERROR(__xludf.DUMMYFUNCTION("""COMPUTED_VALUE"""),211.0)</f>
        <v>211</v>
      </c>
      <c r="I19" s="7" t="str">
        <f>IFERROR(__xludf.DUMMYFUNCTION("""COMPUTED_VALUE"""),"Điện Thoại &amp; Phụ Kiện")</f>
        <v>Điện Thoại &amp; Phụ Kiện</v>
      </c>
      <c r="J19" s="7" t="str">
        <f>IFERROR(__xludf.DUMMYFUNCTION("""COMPUTED_VALUE"""),"Phụ kiện")</f>
        <v>Phụ kiện</v>
      </c>
      <c r="K19" s="7" t="str">
        <f>IFERROR(__xludf.DUMMYFUNCTION("""COMPUTED_VALUE"""),"Phụ kiện cho đồng hồ thông minh")</f>
        <v>Phụ kiện cho đồng hồ thông minh</v>
      </c>
      <c r="L19" s="7"/>
      <c r="M19" s="8">
        <f>IFERROR(__xludf.DUMMYFUNCTION("""COMPUTED_VALUE"""),0.126)</f>
        <v>0.126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26"/>
      <c r="B20" s="27"/>
      <c r="C20" s="28" t="s">
        <v>29</v>
      </c>
      <c r="D20" s="28" t="s">
        <v>30</v>
      </c>
      <c r="E20" s="29"/>
      <c r="F20" s="29"/>
      <c r="G20" s="3"/>
      <c r="H20" s="7">
        <f>IFERROR(__xludf.DUMMYFUNCTION("""COMPUTED_VALUE"""),212.0)</f>
        <v>212</v>
      </c>
      <c r="I20" s="7" t="str">
        <f>IFERROR(__xludf.DUMMYFUNCTION("""COMPUTED_VALUE"""),"Điện Thoại &amp; Phụ Kiện")</f>
        <v>Điện Thoại &amp; Phụ Kiện</v>
      </c>
      <c r="J20" s="7" t="str">
        <f>IFERROR(__xludf.DUMMYFUNCTION("""COMPUTED_VALUE"""),"Điện thoại")</f>
        <v>Điện thoại</v>
      </c>
      <c r="K20" s="7"/>
      <c r="L20" s="7"/>
      <c r="M20" s="8">
        <f>IFERROR(__xludf.DUMMYFUNCTION("""COMPUTED_VALUE"""),0.02)</f>
        <v>0.02</v>
      </c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30" t="s">
        <v>31</v>
      </c>
      <c r="B21" s="27"/>
      <c r="C21" s="25">
        <f t="shared" ref="C21:D21" si="1">$B$2</f>
        <v>100000</v>
      </c>
      <c r="D21" s="25">
        <f t="shared" si="1"/>
        <v>100000</v>
      </c>
      <c r="E21" s="31"/>
      <c r="F21" s="31"/>
      <c r="G21" s="3"/>
      <c r="H21" s="7">
        <f>IFERROR(__xludf.DUMMYFUNCTION("""COMPUTED_VALUE"""),213.0)</f>
        <v>213</v>
      </c>
      <c r="I21" s="7" t="str">
        <f>IFERROR(__xludf.DUMMYFUNCTION("""COMPUTED_VALUE"""),"Điện Thoại &amp; Phụ Kiện")</f>
        <v>Điện Thoại &amp; Phụ Kiện</v>
      </c>
      <c r="J21" s="7" t="str">
        <f>IFERROR(__xludf.DUMMYFUNCTION("""COMPUTED_VALUE"""),"Khác")</f>
        <v>Khác</v>
      </c>
      <c r="K21" s="7"/>
      <c r="L21" s="7"/>
      <c r="M21" s="8">
        <f>IFERROR(__xludf.DUMMYFUNCTION("""COMPUTED_VALUE"""),0.126)</f>
        <v>0.126</v>
      </c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0" t="s">
        <v>0</v>
      </c>
      <c r="B22" s="27"/>
      <c r="C22" s="25">
        <f t="shared" ref="C22:D22" si="2">$B$1</f>
        <v>50000</v>
      </c>
      <c r="D22" s="25">
        <f t="shared" si="2"/>
        <v>50000</v>
      </c>
      <c r="E22" s="31"/>
      <c r="F22" s="31"/>
      <c r="G22" s="3"/>
      <c r="H22" s="7">
        <f>IFERROR(__xludf.DUMMYFUNCTION("""COMPUTED_VALUE"""),214.0)</f>
        <v>214</v>
      </c>
      <c r="I22" s="7" t="str">
        <f>IFERROR(__xludf.DUMMYFUNCTION("""COMPUTED_VALUE"""),"Điện Thoại &amp; Phụ Kiện")</f>
        <v>Điện Thoại &amp; Phụ Kiện</v>
      </c>
      <c r="J22" s="7" t="str">
        <f>IFERROR(__xludf.DUMMYFUNCTION("""COMPUTED_VALUE"""),"Thẻ sim")</f>
        <v>Thẻ sim</v>
      </c>
      <c r="K22" s="7"/>
      <c r="L22" s="7"/>
      <c r="M22" s="8">
        <f>IFERROR(__xludf.DUMMYFUNCTION("""COMPUTED_VALUE"""),0.126)</f>
        <v>0.126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30" t="s">
        <v>32</v>
      </c>
      <c r="B23" s="27"/>
      <c r="C23" s="25">
        <f t="shared" ref="C23:D23" si="3">C$21-C$22</f>
        <v>50000</v>
      </c>
      <c r="D23" s="25">
        <f t="shared" si="3"/>
        <v>50000</v>
      </c>
      <c r="E23" s="31"/>
      <c r="F23" s="31"/>
      <c r="G23" s="3"/>
      <c r="H23" s="7">
        <f>IFERROR(__xludf.DUMMYFUNCTION("""COMPUTED_VALUE"""),215.0)</f>
        <v>215</v>
      </c>
      <c r="I23" s="7" t="str">
        <f>IFERROR(__xludf.DUMMYFUNCTION("""COMPUTED_VALUE"""),"Điện Thoại &amp; Phụ Kiện")</f>
        <v>Điện Thoại &amp; Phụ Kiện</v>
      </c>
      <c r="J23" s="7" t="str">
        <f>IFERROR(__xludf.DUMMYFUNCTION("""COMPUTED_VALUE"""),"Máy tính bảng")</f>
        <v>Máy tính bảng</v>
      </c>
      <c r="K23" s="7"/>
      <c r="L23" s="7"/>
      <c r="M23" s="8">
        <f>IFERROR(__xludf.DUMMYFUNCTION("""COMPUTED_VALUE"""),0.033)</f>
        <v>0.033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32" t="s">
        <v>33</v>
      </c>
      <c r="B24" s="27"/>
      <c r="C24" s="33">
        <f t="shared" ref="C24:D24" si="4">$B$7*C21</f>
        <v>12600</v>
      </c>
      <c r="D24" s="33">
        <f t="shared" si="4"/>
        <v>12600</v>
      </c>
      <c r="E24" s="34"/>
      <c r="F24" s="34"/>
      <c r="G24" s="3"/>
      <c r="H24" s="7">
        <f>IFERROR(__xludf.DUMMYFUNCTION("""COMPUTED_VALUE"""),216.0)</f>
        <v>216</v>
      </c>
      <c r="I24" s="7" t="str">
        <f>IFERROR(__xludf.DUMMYFUNCTION("""COMPUTED_VALUE"""),"Điện Thoại &amp; Phụ Kiện")</f>
        <v>Điện Thoại &amp; Phụ Kiện</v>
      </c>
      <c r="J24" s="7" t="str">
        <f>IFERROR(__xludf.DUMMYFUNCTION("""COMPUTED_VALUE"""),"Bộ đàm")</f>
        <v>Bộ đàm</v>
      </c>
      <c r="K24" s="7"/>
      <c r="L24" s="7"/>
      <c r="M24" s="8">
        <f>IFERROR(__xludf.DUMMYFUNCTION("""COMPUTED_VALUE"""),0.126)</f>
        <v>0.126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2" t="s">
        <v>34</v>
      </c>
      <c r="B25" s="27"/>
      <c r="C25" s="33">
        <f t="shared" ref="C25:D25" si="5">$B$8*(C21+$B$10-C21*$B$13)</f>
        <v>5646.5</v>
      </c>
      <c r="D25" s="33">
        <f t="shared" si="5"/>
        <v>5646.5</v>
      </c>
      <c r="E25" s="34"/>
      <c r="F25" s="34"/>
      <c r="G25" s="3"/>
      <c r="H25" s="7">
        <f>IFERROR(__xludf.DUMMYFUNCTION("""COMPUTED_VALUE"""),217.0)</f>
        <v>217</v>
      </c>
      <c r="I25" s="7" t="str">
        <f>IFERROR(__xludf.DUMMYFUNCTION("""COMPUTED_VALUE"""),"Điện Thoại &amp; Phụ Kiện")</f>
        <v>Điện Thoại &amp; Phụ Kiện</v>
      </c>
      <c r="J25" s="7" t="str">
        <f>IFERROR(__xludf.DUMMYFUNCTION("""COMPUTED_VALUE"""),"Thiết bị đeo thông minh")</f>
        <v>Thiết bị đeo thông minh</v>
      </c>
      <c r="K25" s="7" t="str">
        <f>IFERROR(__xludf.DUMMYFUNCTION("""COMPUTED_VALUE"""),"Thiết bị định vị GPS")</f>
        <v>Thiết bị định vị GPS</v>
      </c>
      <c r="L25" s="7"/>
      <c r="M25" s="8">
        <f>IFERROR(__xludf.DUMMYFUNCTION("""COMPUTED_VALUE"""),0.126)</f>
        <v>0.126</v>
      </c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2" t="s">
        <v>35</v>
      </c>
      <c r="B26" s="27"/>
      <c r="C26" s="33">
        <f t="shared" ref="C26:D26" si="6">$B$6</f>
        <v>3000</v>
      </c>
      <c r="D26" s="33">
        <f t="shared" si="6"/>
        <v>3000</v>
      </c>
      <c r="E26" s="34"/>
      <c r="F26" s="34"/>
      <c r="G26" s="3"/>
      <c r="H26" s="7">
        <f>IFERROR(__xludf.DUMMYFUNCTION("""COMPUTED_VALUE"""),218.0)</f>
        <v>218</v>
      </c>
      <c r="I26" s="7" t="str">
        <f>IFERROR(__xludf.DUMMYFUNCTION("""COMPUTED_VALUE"""),"Điện Thoại &amp; Phụ Kiện")</f>
        <v>Điện Thoại &amp; Phụ Kiện</v>
      </c>
      <c r="J26" s="7" t="str">
        <f>IFERROR(__xludf.DUMMYFUNCTION("""COMPUTED_VALUE"""),"Thiết bị đeo thông minh")</f>
        <v>Thiết bị đeo thông minh</v>
      </c>
      <c r="K26" s="7" t="str">
        <f>IFERROR(__xludf.DUMMYFUNCTION("""COMPUTED_VALUE"""),"Khác")</f>
        <v>Khác</v>
      </c>
      <c r="L26" s="7"/>
      <c r="M26" s="8">
        <f>IFERROR(__xludf.DUMMYFUNCTION("""COMPUTED_VALUE"""),0.126)</f>
        <v>0.126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2" t="s">
        <v>36</v>
      </c>
      <c r="B27" s="27"/>
      <c r="C27" s="33"/>
      <c r="D27" s="33">
        <f>IF(D21 *$B$9 &gt; 50000, 50000, D21*$B$9)</f>
        <v>4000</v>
      </c>
      <c r="E27" s="34"/>
      <c r="F27" s="34"/>
      <c r="G27" s="3"/>
      <c r="H27" s="7">
        <f>IFERROR(__xludf.DUMMYFUNCTION("""COMPUTED_VALUE"""),219.0)</f>
        <v>219</v>
      </c>
      <c r="I27" s="7" t="str">
        <f>IFERROR(__xludf.DUMMYFUNCTION("""COMPUTED_VALUE"""),"Điện Thoại &amp; Phụ Kiện")</f>
        <v>Điện Thoại &amp; Phụ Kiện</v>
      </c>
      <c r="J27" s="7" t="str">
        <f>IFERROR(__xludf.DUMMYFUNCTION("""COMPUTED_VALUE"""),"Thiết bị đeo thông minh")</f>
        <v>Thiết bị đeo thông minh</v>
      </c>
      <c r="K27" s="7" t="str">
        <f>IFERROR(__xludf.DUMMYFUNCTION("""COMPUTED_VALUE"""),"Đồng hồ thông minh &amp; Vòng đeo tay sức khỏe")</f>
        <v>Đồng hồ thông minh &amp; Vòng đeo tay sức khỏe</v>
      </c>
      <c r="L27" s="7"/>
      <c r="M27" s="8">
        <f>IFERROR(__xludf.DUMMYFUNCTION("""COMPUTED_VALUE"""),0.105)</f>
        <v>0.105</v>
      </c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5" t="s">
        <v>37</v>
      </c>
      <c r="B28" s="27"/>
      <c r="C28" s="36">
        <f t="shared" ref="C28:D28" si="7">SUM(C24:C27)</f>
        <v>21246.5</v>
      </c>
      <c r="D28" s="36">
        <f t="shared" si="7"/>
        <v>25246.5</v>
      </c>
      <c r="E28" s="37"/>
      <c r="F28" s="37"/>
      <c r="G28" s="3"/>
      <c r="H28" s="7">
        <f>IFERROR(__xludf.DUMMYFUNCTION("""COMPUTED_VALUE"""),220.0)</f>
        <v>220</v>
      </c>
      <c r="I28" s="7" t="str">
        <f>IFERROR(__xludf.DUMMYFUNCTION("""COMPUTED_VALUE"""),"Điện Thoại &amp; Phụ Kiện")</f>
        <v>Điện Thoại &amp; Phụ Kiện</v>
      </c>
      <c r="J28" s="7" t="str">
        <f>IFERROR(__xludf.DUMMYFUNCTION("""COMPUTED_VALUE"""),"Thiết bị đeo thông minh")</f>
        <v>Thiết bị đeo thông minh</v>
      </c>
      <c r="K28" s="7" t="str">
        <f>IFERROR(__xludf.DUMMYFUNCTION("""COMPUTED_VALUE"""),"Thiết bị thực tế ảo")</f>
        <v>Thiết bị thực tế ảo</v>
      </c>
      <c r="L28" s="7"/>
      <c r="M28" s="8">
        <f>IFERROR(__xludf.DUMMYFUNCTION("""COMPUTED_VALUE"""),0.126)</f>
        <v>0.126</v>
      </c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0" t="s">
        <v>38</v>
      </c>
      <c r="B29" s="27"/>
      <c r="C29" s="25">
        <f t="shared" ref="C29:D29" si="8">$B$11</f>
        <v>1620</v>
      </c>
      <c r="D29" s="25">
        <f t="shared" si="8"/>
        <v>1620</v>
      </c>
      <c r="E29" s="34"/>
      <c r="F29" s="34"/>
      <c r="G29" s="3"/>
      <c r="H29" s="7"/>
      <c r="I29" s="7"/>
      <c r="J29" s="7"/>
      <c r="K29" s="7"/>
      <c r="L29" s="7"/>
      <c r="M29" s="7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30" t="s">
        <v>39</v>
      </c>
      <c r="B30" s="27"/>
      <c r="C30" s="25">
        <f t="shared" ref="C30:D30" si="9">$B$12*C21</f>
        <v>10000</v>
      </c>
      <c r="D30" s="25">
        <f t="shared" si="9"/>
        <v>10000</v>
      </c>
      <c r="E30" s="34"/>
      <c r="F30" s="34"/>
      <c r="G30" s="3"/>
      <c r="H30" s="7"/>
      <c r="I30" s="7"/>
      <c r="J30" s="7"/>
      <c r="K30" s="7"/>
      <c r="L30" s="7"/>
      <c r="M30" s="7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30" t="s">
        <v>21</v>
      </c>
      <c r="B31" s="27"/>
      <c r="C31" s="25">
        <f t="shared" ref="C31:D31" si="10">$B$13*C21</f>
        <v>0</v>
      </c>
      <c r="D31" s="25">
        <f t="shared" si="10"/>
        <v>0</v>
      </c>
      <c r="E31" s="34"/>
      <c r="F31" s="34"/>
      <c r="G31" s="3"/>
      <c r="H31" s="7"/>
      <c r="I31" s="7"/>
      <c r="J31" s="7"/>
      <c r="K31" s="7"/>
      <c r="L31" s="7"/>
      <c r="M31" s="7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30" t="s">
        <v>40</v>
      </c>
      <c r="B32" s="27"/>
      <c r="C32" s="25">
        <f t="shared" ref="C32:D32" si="11">$B$14*C21</f>
        <v>1500</v>
      </c>
      <c r="D32" s="25">
        <f t="shared" si="11"/>
        <v>1500</v>
      </c>
      <c r="E32" s="34"/>
      <c r="F32" s="34"/>
      <c r="G32" s="3"/>
      <c r="H32" s="7"/>
      <c r="I32" s="7"/>
      <c r="J32" s="7"/>
      <c r="K32" s="7"/>
      <c r="L32" s="7"/>
      <c r="M32" s="7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30" t="s">
        <v>41</v>
      </c>
      <c r="B33" s="27"/>
      <c r="C33" s="25">
        <f t="shared" ref="C33:D33" si="12">$B$17</f>
        <v>5555.555556</v>
      </c>
      <c r="D33" s="25">
        <f t="shared" si="12"/>
        <v>5555.555556</v>
      </c>
      <c r="E33" s="34"/>
      <c r="F33" s="34"/>
      <c r="G33" s="3"/>
      <c r="H33" s="7"/>
      <c r="I33" s="7"/>
      <c r="J33" s="7"/>
      <c r="K33" s="7"/>
      <c r="L33" s="7"/>
      <c r="M33" s="7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8" t="s">
        <v>42</v>
      </c>
      <c r="B34" s="39" t="s">
        <v>43</v>
      </c>
      <c r="C34" s="40">
        <f t="shared" ref="C34:D34" si="13">sum(C28:C32)</f>
        <v>34366.5</v>
      </c>
      <c r="D34" s="40">
        <f t="shared" si="13"/>
        <v>38366.5</v>
      </c>
      <c r="E34" s="41"/>
      <c r="F34" s="41"/>
      <c r="G34" s="3"/>
      <c r="H34" s="7"/>
      <c r="I34" s="7"/>
      <c r="J34" s="7"/>
      <c r="K34" s="7"/>
      <c r="L34" s="7"/>
      <c r="M34" s="7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42"/>
      <c r="B35" s="43" t="s">
        <v>44</v>
      </c>
      <c r="C35" s="40">
        <f t="shared" ref="C35:D35" si="14">C21-C22-C34</f>
        <v>15633.5</v>
      </c>
      <c r="D35" s="40">
        <f t="shared" si="14"/>
        <v>11633.5</v>
      </c>
      <c r="E35" s="41"/>
      <c r="F35" s="41"/>
      <c r="G35" s="3"/>
      <c r="H35" s="7"/>
      <c r="I35" s="7"/>
      <c r="J35" s="7"/>
      <c r="K35" s="7"/>
      <c r="L35" s="7"/>
      <c r="M35" s="7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42"/>
      <c r="B36" s="39" t="s">
        <v>45</v>
      </c>
      <c r="C36" s="44">
        <f t="shared" ref="C36:D36" si="15">C35/C21</f>
        <v>0.156335</v>
      </c>
      <c r="D36" s="44">
        <f t="shared" si="15"/>
        <v>0.116335</v>
      </c>
      <c r="E36" s="45"/>
      <c r="F36" s="45"/>
      <c r="G36" s="3"/>
      <c r="H36" s="7"/>
      <c r="I36" s="7"/>
      <c r="J36" s="7"/>
      <c r="K36" s="7"/>
      <c r="L36" s="7"/>
      <c r="M36" s="7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46"/>
      <c r="B37" s="39" t="s">
        <v>46</v>
      </c>
      <c r="C37" s="44">
        <f t="shared" ref="C37:D37" si="16">C34/C21</f>
        <v>0.343665</v>
      </c>
      <c r="D37" s="44">
        <f t="shared" si="16"/>
        <v>0.383665</v>
      </c>
      <c r="E37" s="45"/>
      <c r="F37" s="45"/>
      <c r="G37" s="3"/>
      <c r="H37" s="7"/>
      <c r="I37" s="7"/>
      <c r="J37" s="7"/>
      <c r="K37" s="7"/>
      <c r="L37" s="7"/>
      <c r="M37" s="7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47" t="s">
        <v>47</v>
      </c>
      <c r="B38" s="48" t="s">
        <v>43</v>
      </c>
      <c r="C38" s="49">
        <f t="shared" ref="C38:D38" si="17">C28+sum(C30:C33)</f>
        <v>38302.05556</v>
      </c>
      <c r="D38" s="49">
        <f t="shared" si="17"/>
        <v>42302.05556</v>
      </c>
      <c r="E38" s="41"/>
      <c r="F38" s="41"/>
      <c r="G38" s="3"/>
      <c r="H38" s="7"/>
      <c r="I38" s="7"/>
      <c r="J38" s="7"/>
      <c r="K38" s="7"/>
      <c r="L38" s="7"/>
      <c r="M38" s="7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42"/>
      <c r="B39" s="48" t="s">
        <v>44</v>
      </c>
      <c r="C39" s="49">
        <f t="shared" ref="C39:D39" si="18">C21-C22-C38</f>
        <v>11697.94444</v>
      </c>
      <c r="D39" s="49">
        <f t="shared" si="18"/>
        <v>7697.944444</v>
      </c>
      <c r="E39" s="41"/>
      <c r="F39" s="41"/>
      <c r="G39" s="3"/>
      <c r="H39" s="7"/>
      <c r="I39" s="7"/>
      <c r="J39" s="7"/>
      <c r="K39" s="7"/>
      <c r="L39" s="7"/>
      <c r="M39" s="7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42"/>
      <c r="B40" s="48" t="s">
        <v>45</v>
      </c>
      <c r="C40" s="50">
        <f t="shared" ref="C40:D40" si="19">C39/C21</f>
        <v>0.1169794444</v>
      </c>
      <c r="D40" s="50">
        <f t="shared" si="19"/>
        <v>0.07697944444</v>
      </c>
      <c r="E40" s="45"/>
      <c r="F40" s="45"/>
      <c r="G40" s="3"/>
      <c r="H40" s="7"/>
      <c r="I40" s="7"/>
      <c r="J40" s="7"/>
      <c r="K40" s="7"/>
      <c r="L40" s="7"/>
      <c r="M40" s="7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46"/>
      <c r="B41" s="48" t="s">
        <v>46</v>
      </c>
      <c r="C41" s="50">
        <f t="shared" ref="C41:D41" si="20">C38/C21</f>
        <v>0.3830205556</v>
      </c>
      <c r="D41" s="50">
        <f t="shared" si="20"/>
        <v>0.4230205556</v>
      </c>
      <c r="E41" s="45"/>
      <c r="F41" s="45"/>
      <c r="G41" s="3"/>
      <c r="H41" s="7"/>
      <c r="I41" s="7"/>
      <c r="J41" s="7"/>
      <c r="K41" s="7"/>
      <c r="L41" s="7"/>
      <c r="M41" s="7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1"/>
      <c r="F42" s="31"/>
      <c r="G42" s="3"/>
      <c r="H42" s="7"/>
      <c r="I42" s="7"/>
      <c r="J42" s="7"/>
      <c r="K42" s="7"/>
      <c r="L42" s="7"/>
      <c r="M42" s="7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7"/>
      <c r="I43" s="7"/>
      <c r="J43" s="7"/>
      <c r="K43" s="7"/>
      <c r="L43" s="7"/>
      <c r="M43" s="7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7"/>
      <c r="I44" s="7"/>
      <c r="J44" s="7"/>
      <c r="K44" s="7"/>
      <c r="L44" s="7"/>
      <c r="M44" s="7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7"/>
      <c r="I45" s="7"/>
      <c r="J45" s="7"/>
      <c r="K45" s="7"/>
      <c r="L45" s="7"/>
      <c r="M45" s="7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7"/>
      <c r="I46" s="7"/>
      <c r="J46" s="7"/>
      <c r="K46" s="7"/>
      <c r="L46" s="7"/>
      <c r="M46" s="7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7"/>
      <c r="I47" s="7"/>
      <c r="J47" s="7"/>
      <c r="K47" s="7"/>
      <c r="L47" s="7"/>
      <c r="M47" s="7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7"/>
      <c r="I48" s="7"/>
      <c r="J48" s="7"/>
      <c r="K48" s="7"/>
      <c r="L48" s="7"/>
      <c r="M48" s="7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7"/>
      <c r="I49" s="7"/>
      <c r="J49" s="7"/>
      <c r="K49" s="7"/>
      <c r="L49" s="7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7"/>
      <c r="I50" s="7"/>
      <c r="J50" s="7"/>
      <c r="K50" s="7"/>
      <c r="L50" s="7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7"/>
      <c r="I51" s="7"/>
      <c r="J51" s="7"/>
      <c r="K51" s="7"/>
      <c r="L51" s="7"/>
      <c r="M51" s="7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7"/>
      <c r="I52" s="7"/>
      <c r="J52" s="7"/>
      <c r="K52" s="7"/>
      <c r="L52" s="7"/>
      <c r="M52" s="7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7"/>
      <c r="I53" s="7"/>
      <c r="J53" s="7"/>
      <c r="K53" s="7"/>
      <c r="L53" s="7"/>
      <c r="M53" s="7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7"/>
      <c r="I54" s="7"/>
      <c r="J54" s="7"/>
      <c r="K54" s="7"/>
      <c r="L54" s="7"/>
      <c r="M54" s="7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7"/>
      <c r="I55" s="7"/>
      <c r="J55" s="7"/>
      <c r="K55" s="7"/>
      <c r="L55" s="7"/>
      <c r="M55" s="7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7"/>
      <c r="I56" s="7"/>
      <c r="J56" s="7"/>
      <c r="K56" s="7"/>
      <c r="L56" s="7"/>
      <c r="M56" s="7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7"/>
      <c r="I57" s="7"/>
      <c r="J57" s="7"/>
      <c r="K57" s="7"/>
      <c r="L57" s="7"/>
      <c r="M57" s="7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7"/>
      <c r="I58" s="7"/>
      <c r="J58" s="7"/>
      <c r="K58" s="7"/>
      <c r="L58" s="7"/>
      <c r="M58" s="7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3"/>
      <c r="B59" s="3"/>
      <c r="C59" s="3"/>
      <c r="D59" s="3"/>
      <c r="E59" s="3"/>
      <c r="F59" s="3"/>
      <c r="G59" s="3"/>
      <c r="H59" s="7"/>
      <c r="I59" s="7"/>
      <c r="J59" s="7"/>
      <c r="K59" s="7"/>
      <c r="L59" s="7"/>
      <c r="M59" s="7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3"/>
      <c r="B60" s="3"/>
      <c r="C60" s="3"/>
      <c r="D60" s="3"/>
      <c r="E60" s="3"/>
      <c r="F60" s="3"/>
      <c r="G60" s="3"/>
      <c r="H60" s="7"/>
      <c r="I60" s="7"/>
      <c r="J60" s="7"/>
      <c r="K60" s="7"/>
      <c r="L60" s="7"/>
      <c r="M60" s="7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3"/>
      <c r="B61" s="3"/>
      <c r="C61" s="3"/>
      <c r="D61" s="3"/>
      <c r="E61" s="3"/>
      <c r="F61" s="3"/>
      <c r="G61" s="3"/>
      <c r="H61" s="7"/>
      <c r="I61" s="7"/>
      <c r="J61" s="7"/>
      <c r="K61" s="7"/>
      <c r="L61" s="7"/>
      <c r="M61" s="7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7"/>
      <c r="I62" s="7"/>
      <c r="J62" s="7"/>
      <c r="K62" s="7"/>
      <c r="L62" s="7"/>
      <c r="M62" s="7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7"/>
      <c r="I63" s="7"/>
      <c r="J63" s="7"/>
      <c r="K63" s="7"/>
      <c r="L63" s="7"/>
      <c r="M63" s="7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7"/>
      <c r="I64" s="7"/>
      <c r="J64" s="7"/>
      <c r="K64" s="7"/>
      <c r="L64" s="7"/>
      <c r="M64" s="7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7"/>
      <c r="I65" s="7"/>
      <c r="J65" s="7"/>
      <c r="K65" s="7"/>
      <c r="L65" s="7"/>
      <c r="M65" s="7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7"/>
      <c r="I66" s="7"/>
      <c r="J66" s="7"/>
      <c r="K66" s="7"/>
      <c r="L66" s="7"/>
      <c r="M66" s="7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7"/>
      <c r="I67" s="7"/>
      <c r="J67" s="7"/>
      <c r="K67" s="7"/>
      <c r="L67" s="7"/>
      <c r="M67" s="7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7"/>
      <c r="I68" s="7"/>
      <c r="J68" s="7"/>
      <c r="K68" s="7"/>
      <c r="L68" s="7"/>
      <c r="M68" s="7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7"/>
      <c r="I69" s="7"/>
      <c r="J69" s="7"/>
      <c r="K69" s="7"/>
      <c r="L69" s="7"/>
      <c r="M69" s="7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7"/>
      <c r="I70" s="7"/>
      <c r="J70" s="7"/>
      <c r="K70" s="7"/>
      <c r="L70" s="7"/>
      <c r="M70" s="7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7"/>
      <c r="I71" s="7"/>
      <c r="J71" s="7"/>
      <c r="K71" s="7"/>
      <c r="L71" s="7"/>
      <c r="M71" s="7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7"/>
      <c r="I72" s="7"/>
      <c r="J72" s="7"/>
      <c r="K72" s="7"/>
      <c r="L72" s="7"/>
      <c r="M72" s="7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7"/>
      <c r="I73" s="7"/>
      <c r="J73" s="7"/>
      <c r="K73" s="7"/>
      <c r="L73" s="7"/>
      <c r="M73" s="7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7"/>
      <c r="I74" s="7"/>
      <c r="J74" s="7"/>
      <c r="K74" s="7"/>
      <c r="L74" s="7"/>
      <c r="M74" s="7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7"/>
      <c r="I75" s="7"/>
      <c r="J75" s="7"/>
      <c r="K75" s="7"/>
      <c r="L75" s="7"/>
      <c r="M75" s="7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7"/>
      <c r="I76" s="7"/>
      <c r="J76" s="7"/>
      <c r="K76" s="7"/>
      <c r="L76" s="7"/>
      <c r="M76" s="7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7"/>
      <c r="I77" s="7"/>
      <c r="J77" s="7"/>
      <c r="K77" s="7"/>
      <c r="L77" s="7"/>
      <c r="M77" s="7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7"/>
      <c r="I78" s="7"/>
      <c r="J78" s="7"/>
      <c r="K78" s="7"/>
      <c r="L78" s="7"/>
      <c r="M78" s="7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7"/>
      <c r="I79" s="7"/>
      <c r="J79" s="7"/>
      <c r="K79" s="7"/>
      <c r="L79" s="7"/>
      <c r="M79" s="7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3"/>
      <c r="B80" s="3"/>
      <c r="C80" s="3"/>
      <c r="D80" s="3"/>
      <c r="E80" s="3"/>
      <c r="F80" s="3"/>
      <c r="G80" s="3"/>
      <c r="H80" s="7"/>
      <c r="I80" s="7"/>
      <c r="J80" s="7"/>
      <c r="K80" s="7"/>
      <c r="L80" s="7"/>
      <c r="M80" s="7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3"/>
      <c r="B81" s="3"/>
      <c r="C81" s="3"/>
      <c r="D81" s="3"/>
      <c r="E81" s="3"/>
      <c r="F81" s="3"/>
      <c r="G81" s="3"/>
      <c r="H81" s="7"/>
      <c r="I81" s="7"/>
      <c r="J81" s="7"/>
      <c r="K81" s="7"/>
      <c r="L81" s="7"/>
      <c r="M81" s="7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3"/>
      <c r="B82" s="3"/>
      <c r="C82" s="3"/>
      <c r="D82" s="3"/>
      <c r="E82" s="3"/>
      <c r="F82" s="3"/>
      <c r="G82" s="3"/>
      <c r="H82" s="7"/>
      <c r="I82" s="7"/>
      <c r="J82" s="7"/>
      <c r="K82" s="7"/>
      <c r="L82" s="7"/>
      <c r="M82" s="7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3"/>
      <c r="B83" s="3"/>
      <c r="C83" s="3"/>
      <c r="D83" s="3"/>
      <c r="E83" s="3"/>
      <c r="F83" s="3"/>
      <c r="G83" s="3"/>
      <c r="H83" s="7"/>
      <c r="I83" s="7"/>
      <c r="J83" s="7"/>
      <c r="K83" s="7"/>
      <c r="L83" s="7"/>
      <c r="M83" s="7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3"/>
      <c r="B84" s="3"/>
      <c r="C84" s="3"/>
      <c r="D84" s="3"/>
      <c r="E84" s="3"/>
      <c r="F84" s="3"/>
      <c r="G84" s="3"/>
      <c r="H84" s="7"/>
      <c r="I84" s="7"/>
      <c r="J84" s="7"/>
      <c r="K84" s="7"/>
      <c r="L84" s="7"/>
      <c r="M84" s="7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3"/>
      <c r="B85" s="3"/>
      <c r="C85" s="3"/>
      <c r="D85" s="3"/>
      <c r="E85" s="3"/>
      <c r="F85" s="3"/>
      <c r="G85" s="3"/>
      <c r="H85" s="7"/>
      <c r="I85" s="7"/>
      <c r="J85" s="7"/>
      <c r="K85" s="7"/>
      <c r="L85" s="7"/>
      <c r="M85" s="7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3"/>
      <c r="B86" s="3"/>
      <c r="C86" s="3"/>
      <c r="D86" s="3"/>
      <c r="E86" s="3"/>
      <c r="F86" s="3"/>
      <c r="G86" s="3"/>
      <c r="H86" s="7"/>
      <c r="I86" s="7"/>
      <c r="J86" s="7"/>
      <c r="K86" s="7"/>
      <c r="L86" s="7"/>
      <c r="M86" s="7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3"/>
      <c r="B87" s="3"/>
      <c r="C87" s="3"/>
      <c r="D87" s="3"/>
      <c r="E87" s="3"/>
      <c r="F87" s="3"/>
      <c r="G87" s="3"/>
      <c r="H87" s="7"/>
      <c r="I87" s="7"/>
      <c r="J87" s="7"/>
      <c r="K87" s="7"/>
      <c r="L87" s="7"/>
      <c r="M87" s="7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3"/>
      <c r="B88" s="3"/>
      <c r="C88" s="3"/>
      <c r="D88" s="3"/>
      <c r="E88" s="3"/>
      <c r="F88" s="3"/>
      <c r="G88" s="3"/>
      <c r="H88" s="7"/>
      <c r="I88" s="7"/>
      <c r="J88" s="7"/>
      <c r="K88" s="7"/>
      <c r="L88" s="7"/>
      <c r="M88" s="7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3"/>
      <c r="B89" s="3"/>
      <c r="C89" s="3"/>
      <c r="D89" s="3"/>
      <c r="E89" s="3"/>
      <c r="F89" s="3"/>
      <c r="G89" s="3"/>
      <c r="H89" s="7"/>
      <c r="I89" s="7"/>
      <c r="J89" s="7"/>
      <c r="K89" s="7"/>
      <c r="L89" s="7"/>
      <c r="M89" s="7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3"/>
      <c r="B90" s="3"/>
      <c r="C90" s="3"/>
      <c r="D90" s="3"/>
      <c r="E90" s="3"/>
      <c r="F90" s="3"/>
      <c r="G90" s="3"/>
      <c r="H90" s="7"/>
      <c r="I90" s="7"/>
      <c r="J90" s="7"/>
      <c r="K90" s="7"/>
      <c r="L90" s="7"/>
      <c r="M90" s="7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3"/>
      <c r="B91" s="3"/>
      <c r="C91" s="3"/>
      <c r="D91" s="3"/>
      <c r="E91" s="3"/>
      <c r="F91" s="3"/>
      <c r="G91" s="3"/>
      <c r="H91" s="7"/>
      <c r="I91" s="7"/>
      <c r="J91" s="7"/>
      <c r="K91" s="7"/>
      <c r="L91" s="7"/>
      <c r="M91" s="7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3"/>
      <c r="B92" s="3"/>
      <c r="C92" s="3"/>
      <c r="D92" s="3"/>
      <c r="E92" s="3"/>
      <c r="F92" s="3"/>
      <c r="G92" s="3"/>
      <c r="H92" s="7"/>
      <c r="I92" s="7"/>
      <c r="J92" s="7"/>
      <c r="K92" s="7"/>
      <c r="L92" s="7"/>
      <c r="M92" s="7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3"/>
      <c r="B93" s="3"/>
      <c r="C93" s="3"/>
      <c r="D93" s="3"/>
      <c r="E93" s="3"/>
      <c r="F93" s="3"/>
      <c r="G93" s="3"/>
      <c r="H93" s="7"/>
      <c r="I93" s="7"/>
      <c r="J93" s="7"/>
      <c r="K93" s="7"/>
      <c r="L93" s="7"/>
      <c r="M93" s="7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3"/>
      <c r="B94" s="3"/>
      <c r="C94" s="3"/>
      <c r="D94" s="3"/>
      <c r="E94" s="3"/>
      <c r="F94" s="3"/>
      <c r="G94" s="3"/>
      <c r="H94" s="7"/>
      <c r="I94" s="7"/>
      <c r="J94" s="7"/>
      <c r="K94" s="7"/>
      <c r="L94" s="7"/>
      <c r="M94" s="7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3"/>
      <c r="B95" s="3"/>
      <c r="C95" s="3"/>
      <c r="D95" s="3"/>
      <c r="E95" s="3"/>
      <c r="F95" s="3"/>
      <c r="G95" s="3"/>
      <c r="H95" s="7"/>
      <c r="I95" s="7"/>
      <c r="J95" s="7"/>
      <c r="K95" s="7"/>
      <c r="L95" s="7"/>
      <c r="M95" s="7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3"/>
      <c r="B96" s="3"/>
      <c r="C96" s="3"/>
      <c r="D96" s="3"/>
      <c r="E96" s="3"/>
      <c r="F96" s="3"/>
      <c r="G96" s="3"/>
      <c r="H96" s="7"/>
      <c r="I96" s="7"/>
      <c r="J96" s="7"/>
      <c r="K96" s="7"/>
      <c r="L96" s="7"/>
      <c r="M96" s="7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3"/>
      <c r="B97" s="3"/>
      <c r="C97" s="3"/>
      <c r="D97" s="3"/>
      <c r="E97" s="3"/>
      <c r="F97" s="3"/>
      <c r="G97" s="3"/>
      <c r="H97" s="7"/>
      <c r="I97" s="7"/>
      <c r="J97" s="7"/>
      <c r="K97" s="7"/>
      <c r="L97" s="7"/>
      <c r="M97" s="7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3"/>
      <c r="B98" s="3"/>
      <c r="C98" s="3"/>
      <c r="D98" s="3"/>
      <c r="E98" s="3"/>
      <c r="F98" s="3"/>
      <c r="G98" s="3"/>
      <c r="H98" s="7"/>
      <c r="I98" s="7"/>
      <c r="J98" s="7"/>
      <c r="K98" s="7"/>
      <c r="L98" s="7"/>
      <c r="M98" s="7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3"/>
      <c r="B99" s="3"/>
      <c r="C99" s="3"/>
      <c r="D99" s="3"/>
      <c r="E99" s="3"/>
      <c r="F99" s="3"/>
      <c r="G99" s="3"/>
      <c r="H99" s="7"/>
      <c r="I99" s="7"/>
      <c r="J99" s="7"/>
      <c r="K99" s="7"/>
      <c r="L99" s="7"/>
      <c r="M99" s="7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3"/>
      <c r="B100" s="3"/>
      <c r="C100" s="3"/>
      <c r="D100" s="3"/>
      <c r="E100" s="3"/>
      <c r="F100" s="3"/>
      <c r="G100" s="3"/>
      <c r="H100" s="7"/>
      <c r="I100" s="7"/>
      <c r="J100" s="7"/>
      <c r="K100" s="7"/>
      <c r="L100" s="7"/>
      <c r="M100" s="7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3"/>
      <c r="B101" s="3"/>
      <c r="C101" s="3"/>
      <c r="D101" s="3"/>
      <c r="E101" s="3"/>
      <c r="F101" s="3"/>
      <c r="G101" s="3"/>
      <c r="H101" s="7"/>
      <c r="I101" s="7"/>
      <c r="J101" s="7"/>
      <c r="K101" s="7"/>
      <c r="L101" s="7"/>
      <c r="M101" s="7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3"/>
      <c r="B102" s="3"/>
      <c r="C102" s="3"/>
      <c r="D102" s="3"/>
      <c r="E102" s="3"/>
      <c r="F102" s="3"/>
      <c r="G102" s="3"/>
      <c r="H102" s="7"/>
      <c r="I102" s="7"/>
      <c r="J102" s="7"/>
      <c r="K102" s="7"/>
      <c r="L102" s="7"/>
      <c r="M102" s="7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3"/>
      <c r="B103" s="3"/>
      <c r="C103" s="3"/>
      <c r="D103" s="3"/>
      <c r="E103" s="3"/>
      <c r="F103" s="3"/>
      <c r="G103" s="3"/>
      <c r="H103" s="7"/>
      <c r="I103" s="7"/>
      <c r="J103" s="7"/>
      <c r="K103" s="7"/>
      <c r="L103" s="7"/>
      <c r="M103" s="7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3"/>
      <c r="B104" s="3"/>
      <c r="C104" s="3"/>
      <c r="D104" s="3"/>
      <c r="E104" s="3"/>
      <c r="F104" s="3"/>
      <c r="G104" s="3"/>
      <c r="H104" s="7"/>
      <c r="I104" s="7"/>
      <c r="J104" s="7"/>
      <c r="K104" s="7"/>
      <c r="L104" s="7"/>
      <c r="M104" s="7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3"/>
      <c r="B105" s="3"/>
      <c r="C105" s="3"/>
      <c r="D105" s="3"/>
      <c r="E105" s="3"/>
      <c r="F105" s="3"/>
      <c r="G105" s="3"/>
      <c r="H105" s="7"/>
      <c r="I105" s="7"/>
      <c r="J105" s="7"/>
      <c r="K105" s="7"/>
      <c r="L105" s="7"/>
      <c r="M105" s="7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3"/>
      <c r="B106" s="3"/>
      <c r="C106" s="3"/>
      <c r="D106" s="3"/>
      <c r="E106" s="3"/>
      <c r="F106" s="3"/>
      <c r="G106" s="3"/>
      <c r="H106" s="7"/>
      <c r="I106" s="7"/>
      <c r="J106" s="7"/>
      <c r="K106" s="7"/>
      <c r="L106" s="7"/>
      <c r="M106" s="7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3"/>
      <c r="B107" s="3"/>
      <c r="C107" s="3"/>
      <c r="D107" s="3"/>
      <c r="E107" s="3"/>
      <c r="F107" s="3"/>
      <c r="G107" s="3"/>
      <c r="H107" s="7"/>
      <c r="I107" s="7"/>
      <c r="J107" s="7"/>
      <c r="K107" s="7"/>
      <c r="L107" s="7"/>
      <c r="M107" s="7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3"/>
      <c r="B108" s="3"/>
      <c r="C108" s="3"/>
      <c r="D108" s="3"/>
      <c r="E108" s="3"/>
      <c r="F108" s="3"/>
      <c r="G108" s="3"/>
      <c r="H108" s="7"/>
      <c r="I108" s="7"/>
      <c r="J108" s="7"/>
      <c r="K108" s="7"/>
      <c r="L108" s="7"/>
      <c r="M108" s="7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3"/>
      <c r="B109" s="3"/>
      <c r="C109" s="3"/>
      <c r="D109" s="3"/>
      <c r="E109" s="3"/>
      <c r="F109" s="3"/>
      <c r="G109" s="3"/>
      <c r="H109" s="7"/>
      <c r="I109" s="7"/>
      <c r="J109" s="7"/>
      <c r="K109" s="7"/>
      <c r="L109" s="7"/>
      <c r="M109" s="7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3"/>
      <c r="B110" s="3"/>
      <c r="C110" s="3"/>
      <c r="D110" s="3"/>
      <c r="E110" s="3"/>
      <c r="F110" s="3"/>
      <c r="G110" s="3"/>
      <c r="H110" s="7"/>
      <c r="I110" s="7"/>
      <c r="J110" s="7"/>
      <c r="K110" s="7"/>
      <c r="L110" s="7"/>
      <c r="M110" s="7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3"/>
      <c r="B111" s="3"/>
      <c r="C111" s="3"/>
      <c r="D111" s="3"/>
      <c r="E111" s="3"/>
      <c r="F111" s="3"/>
      <c r="G111" s="3"/>
      <c r="H111" s="7"/>
      <c r="I111" s="7"/>
      <c r="J111" s="7"/>
      <c r="K111" s="7"/>
      <c r="L111" s="7"/>
      <c r="M111" s="7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3"/>
      <c r="B112" s="3"/>
      <c r="C112" s="3"/>
      <c r="D112" s="3"/>
      <c r="E112" s="3"/>
      <c r="F112" s="3"/>
      <c r="G112" s="3"/>
      <c r="H112" s="7"/>
      <c r="I112" s="7"/>
      <c r="J112" s="7"/>
      <c r="K112" s="7"/>
      <c r="L112" s="7"/>
      <c r="M112" s="7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3"/>
      <c r="B113" s="3"/>
      <c r="C113" s="3"/>
      <c r="D113" s="3"/>
      <c r="E113" s="3"/>
      <c r="F113" s="3"/>
      <c r="G113" s="3"/>
      <c r="H113" s="7"/>
      <c r="I113" s="7"/>
      <c r="J113" s="7"/>
      <c r="K113" s="7"/>
      <c r="L113" s="7"/>
      <c r="M113" s="7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3"/>
      <c r="B114" s="3"/>
      <c r="C114" s="3"/>
      <c r="D114" s="3"/>
      <c r="E114" s="3"/>
      <c r="F114" s="3"/>
      <c r="G114" s="3"/>
      <c r="H114" s="7"/>
      <c r="I114" s="7"/>
      <c r="J114" s="7"/>
      <c r="K114" s="7"/>
      <c r="L114" s="7"/>
      <c r="M114" s="7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3"/>
      <c r="B115" s="3"/>
      <c r="C115" s="3"/>
      <c r="D115" s="3"/>
      <c r="E115" s="3"/>
      <c r="F115" s="3"/>
      <c r="G115" s="3"/>
      <c r="H115" s="7"/>
      <c r="I115" s="7"/>
      <c r="J115" s="7"/>
      <c r="K115" s="7"/>
      <c r="L115" s="7"/>
      <c r="M115" s="7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3"/>
      <c r="B116" s="3"/>
      <c r="C116" s="3"/>
      <c r="D116" s="3"/>
      <c r="E116" s="3"/>
      <c r="F116" s="3"/>
      <c r="G116" s="3"/>
      <c r="H116" s="7"/>
      <c r="I116" s="7"/>
      <c r="J116" s="7"/>
      <c r="K116" s="7"/>
      <c r="L116" s="7"/>
      <c r="M116" s="7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3"/>
      <c r="B117" s="3"/>
      <c r="C117" s="3"/>
      <c r="D117" s="3"/>
      <c r="E117" s="3"/>
      <c r="F117" s="3"/>
      <c r="G117" s="3"/>
      <c r="H117" s="7"/>
      <c r="I117" s="7"/>
      <c r="J117" s="7"/>
      <c r="K117" s="7"/>
      <c r="L117" s="7"/>
      <c r="M117" s="7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3"/>
      <c r="B118" s="3"/>
      <c r="C118" s="3"/>
      <c r="D118" s="3"/>
      <c r="E118" s="3"/>
      <c r="F118" s="3"/>
      <c r="G118" s="3"/>
      <c r="H118" s="7"/>
      <c r="I118" s="7"/>
      <c r="J118" s="7"/>
      <c r="K118" s="7"/>
      <c r="L118" s="7"/>
      <c r="M118" s="7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3"/>
      <c r="B119" s="3"/>
      <c r="C119" s="3"/>
      <c r="D119" s="3"/>
      <c r="E119" s="3"/>
      <c r="F119" s="3"/>
      <c r="G119" s="3"/>
      <c r="H119" s="7"/>
      <c r="I119" s="7"/>
      <c r="J119" s="7"/>
      <c r="K119" s="7"/>
      <c r="L119" s="7"/>
      <c r="M119" s="7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3"/>
      <c r="B120" s="3"/>
      <c r="C120" s="3"/>
      <c r="D120" s="3"/>
      <c r="E120" s="3"/>
      <c r="F120" s="3"/>
      <c r="G120" s="3"/>
      <c r="H120" s="7"/>
      <c r="I120" s="7"/>
      <c r="J120" s="7"/>
      <c r="K120" s="7"/>
      <c r="L120" s="7"/>
      <c r="M120" s="7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3"/>
      <c r="B121" s="3"/>
      <c r="C121" s="3"/>
      <c r="D121" s="3"/>
      <c r="E121" s="3"/>
      <c r="F121" s="3"/>
      <c r="G121" s="3"/>
      <c r="H121" s="7"/>
      <c r="I121" s="7"/>
      <c r="J121" s="7"/>
      <c r="K121" s="7"/>
      <c r="L121" s="7"/>
      <c r="M121" s="7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3"/>
      <c r="B122" s="3"/>
      <c r="C122" s="3"/>
      <c r="D122" s="3"/>
      <c r="E122" s="3"/>
      <c r="F122" s="3"/>
      <c r="G122" s="3"/>
      <c r="H122" s="7"/>
      <c r="I122" s="7"/>
      <c r="J122" s="7"/>
      <c r="K122" s="7"/>
      <c r="L122" s="7"/>
      <c r="M122" s="7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3"/>
      <c r="B123" s="3"/>
      <c r="C123" s="3"/>
      <c r="D123" s="3"/>
      <c r="E123" s="3"/>
      <c r="F123" s="3"/>
      <c r="G123" s="3"/>
      <c r="H123" s="7"/>
      <c r="I123" s="7"/>
      <c r="J123" s="7"/>
      <c r="K123" s="7"/>
      <c r="L123" s="7"/>
      <c r="M123" s="7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3"/>
      <c r="B124" s="3"/>
      <c r="C124" s="3"/>
      <c r="D124" s="3"/>
      <c r="E124" s="3"/>
      <c r="F124" s="3"/>
      <c r="G124" s="3"/>
      <c r="H124" s="7"/>
      <c r="I124" s="7"/>
      <c r="J124" s="7"/>
      <c r="K124" s="7"/>
      <c r="L124" s="7"/>
      <c r="M124" s="7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3"/>
      <c r="B125" s="3"/>
      <c r="C125" s="3"/>
      <c r="D125" s="3"/>
      <c r="E125" s="3"/>
      <c r="F125" s="3"/>
      <c r="G125" s="3"/>
      <c r="H125" s="7"/>
      <c r="I125" s="7"/>
      <c r="J125" s="7"/>
      <c r="K125" s="7"/>
      <c r="L125" s="7"/>
      <c r="M125" s="7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3"/>
      <c r="B126" s="3"/>
      <c r="C126" s="3"/>
      <c r="D126" s="3"/>
      <c r="E126" s="3"/>
      <c r="F126" s="3"/>
      <c r="G126" s="3"/>
      <c r="H126" s="7"/>
      <c r="I126" s="7"/>
      <c r="J126" s="7"/>
      <c r="K126" s="7"/>
      <c r="L126" s="7"/>
      <c r="M126" s="7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3"/>
      <c r="B127" s="3"/>
      <c r="C127" s="3"/>
      <c r="D127" s="3"/>
      <c r="E127" s="3"/>
      <c r="F127" s="3"/>
      <c r="G127" s="3"/>
      <c r="H127" s="7"/>
      <c r="I127" s="7"/>
      <c r="J127" s="7"/>
      <c r="K127" s="7"/>
      <c r="L127" s="7"/>
      <c r="M127" s="7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3"/>
      <c r="B128" s="3"/>
      <c r="C128" s="3"/>
      <c r="D128" s="3"/>
      <c r="E128" s="3"/>
      <c r="F128" s="3"/>
      <c r="G128" s="3"/>
      <c r="H128" s="7"/>
      <c r="I128" s="7"/>
      <c r="J128" s="7"/>
      <c r="K128" s="7"/>
      <c r="L128" s="7"/>
      <c r="M128" s="7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3"/>
      <c r="B129" s="3"/>
      <c r="C129" s="3"/>
      <c r="D129" s="3"/>
      <c r="E129" s="3"/>
      <c r="F129" s="3"/>
      <c r="G129" s="3"/>
      <c r="H129" s="7"/>
      <c r="I129" s="7"/>
      <c r="J129" s="7"/>
      <c r="K129" s="7"/>
      <c r="L129" s="7"/>
      <c r="M129" s="7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3"/>
      <c r="B130" s="3"/>
      <c r="C130" s="3"/>
      <c r="D130" s="3"/>
      <c r="E130" s="3"/>
      <c r="F130" s="3"/>
      <c r="G130" s="3"/>
      <c r="H130" s="7"/>
      <c r="I130" s="7"/>
      <c r="J130" s="7"/>
      <c r="K130" s="7"/>
      <c r="L130" s="7"/>
      <c r="M130" s="7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3"/>
      <c r="B131" s="3"/>
      <c r="C131" s="3"/>
      <c r="D131" s="3"/>
      <c r="E131" s="3"/>
      <c r="F131" s="3"/>
      <c r="G131" s="3"/>
      <c r="H131" s="7"/>
      <c r="I131" s="7"/>
      <c r="J131" s="7"/>
      <c r="K131" s="7"/>
      <c r="L131" s="7"/>
      <c r="M131" s="7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3"/>
      <c r="B132" s="3"/>
      <c r="C132" s="3"/>
      <c r="D132" s="3"/>
      <c r="E132" s="3"/>
      <c r="F132" s="3"/>
      <c r="G132" s="3"/>
      <c r="H132" s="7"/>
      <c r="I132" s="7"/>
      <c r="J132" s="7"/>
      <c r="K132" s="7"/>
      <c r="L132" s="7"/>
      <c r="M132" s="7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3"/>
      <c r="B133" s="3"/>
      <c r="C133" s="3"/>
      <c r="D133" s="3"/>
      <c r="E133" s="3"/>
      <c r="F133" s="3"/>
      <c r="G133" s="3"/>
      <c r="H133" s="7"/>
      <c r="I133" s="7"/>
      <c r="J133" s="7"/>
      <c r="K133" s="7"/>
      <c r="L133" s="7"/>
      <c r="M133" s="7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3"/>
      <c r="B134" s="3"/>
      <c r="C134" s="3"/>
      <c r="D134" s="3"/>
      <c r="E134" s="3"/>
      <c r="F134" s="3"/>
      <c r="G134" s="3"/>
      <c r="H134" s="7"/>
      <c r="I134" s="7"/>
      <c r="J134" s="7"/>
      <c r="K134" s="7"/>
      <c r="L134" s="7"/>
      <c r="M134" s="7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3"/>
      <c r="B135" s="3"/>
      <c r="C135" s="3"/>
      <c r="D135" s="3"/>
      <c r="E135" s="3"/>
      <c r="F135" s="3"/>
      <c r="G135" s="3"/>
      <c r="H135" s="7"/>
      <c r="I135" s="7"/>
      <c r="J135" s="7"/>
      <c r="K135" s="7"/>
      <c r="L135" s="7"/>
      <c r="M135" s="7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3"/>
      <c r="B136" s="3"/>
      <c r="C136" s="3"/>
      <c r="D136" s="3"/>
      <c r="E136" s="3"/>
      <c r="F136" s="3"/>
      <c r="G136" s="3"/>
      <c r="H136" s="7"/>
      <c r="I136" s="7"/>
      <c r="J136" s="7"/>
      <c r="K136" s="7"/>
      <c r="L136" s="7"/>
      <c r="M136" s="7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3"/>
      <c r="B137" s="3"/>
      <c r="C137" s="3"/>
      <c r="D137" s="3"/>
      <c r="E137" s="3"/>
      <c r="F137" s="3"/>
      <c r="G137" s="3"/>
      <c r="H137" s="7"/>
      <c r="I137" s="7"/>
      <c r="J137" s="7"/>
      <c r="K137" s="7"/>
      <c r="L137" s="7"/>
      <c r="M137" s="7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3"/>
      <c r="B138" s="3"/>
      <c r="C138" s="3"/>
      <c r="D138" s="3"/>
      <c r="E138" s="3"/>
      <c r="F138" s="3"/>
      <c r="G138" s="3"/>
      <c r="H138" s="7"/>
      <c r="I138" s="7"/>
      <c r="J138" s="7"/>
      <c r="K138" s="7"/>
      <c r="L138" s="7"/>
      <c r="M138" s="7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3"/>
      <c r="B139" s="3"/>
      <c r="C139" s="3"/>
      <c r="D139" s="3"/>
      <c r="E139" s="3"/>
      <c r="F139" s="3"/>
      <c r="G139" s="3"/>
      <c r="H139" s="7"/>
      <c r="I139" s="7"/>
      <c r="J139" s="7"/>
      <c r="K139" s="7"/>
      <c r="L139" s="7"/>
      <c r="M139" s="7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3"/>
      <c r="B140" s="3"/>
      <c r="C140" s="3"/>
      <c r="D140" s="3"/>
      <c r="E140" s="3"/>
      <c r="F140" s="3"/>
      <c r="G140" s="3"/>
      <c r="H140" s="7"/>
      <c r="I140" s="7"/>
      <c r="J140" s="7"/>
      <c r="K140" s="7"/>
      <c r="L140" s="7"/>
      <c r="M140" s="7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3"/>
      <c r="B141" s="3"/>
      <c r="C141" s="3"/>
      <c r="D141" s="3"/>
      <c r="E141" s="3"/>
      <c r="F141" s="3"/>
      <c r="G141" s="3"/>
      <c r="H141" s="7"/>
      <c r="I141" s="7"/>
      <c r="J141" s="7"/>
      <c r="K141" s="7"/>
      <c r="L141" s="7"/>
      <c r="M141" s="7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3"/>
      <c r="B142" s="3"/>
      <c r="C142" s="3"/>
      <c r="D142" s="3"/>
      <c r="E142" s="3"/>
      <c r="F142" s="3"/>
      <c r="G142" s="3"/>
      <c r="H142" s="7"/>
      <c r="I142" s="7"/>
      <c r="J142" s="7"/>
      <c r="K142" s="7"/>
      <c r="L142" s="7"/>
      <c r="M142" s="7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3"/>
      <c r="B143" s="3"/>
      <c r="C143" s="3"/>
      <c r="D143" s="3"/>
      <c r="E143" s="3"/>
      <c r="F143" s="3"/>
      <c r="G143" s="3"/>
      <c r="H143" s="7"/>
      <c r="I143" s="7"/>
      <c r="J143" s="7"/>
      <c r="K143" s="7"/>
      <c r="L143" s="7"/>
      <c r="M143" s="7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3"/>
      <c r="B144" s="3"/>
      <c r="C144" s="3"/>
      <c r="D144" s="3"/>
      <c r="E144" s="3"/>
      <c r="F144" s="3"/>
      <c r="G144" s="3"/>
      <c r="H144" s="7"/>
      <c r="I144" s="7"/>
      <c r="J144" s="7"/>
      <c r="K144" s="7"/>
      <c r="L144" s="7"/>
      <c r="M144" s="7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3"/>
      <c r="B145" s="3"/>
      <c r="C145" s="3"/>
      <c r="D145" s="3"/>
      <c r="E145" s="3"/>
      <c r="F145" s="3"/>
      <c r="G145" s="3"/>
      <c r="H145" s="7"/>
      <c r="I145" s="7"/>
      <c r="J145" s="7"/>
      <c r="K145" s="7"/>
      <c r="L145" s="7"/>
      <c r="M145" s="7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3"/>
      <c r="B146" s="3"/>
      <c r="C146" s="3"/>
      <c r="D146" s="3"/>
      <c r="E146" s="3"/>
      <c r="F146" s="3"/>
      <c r="G146" s="3"/>
      <c r="H146" s="7"/>
      <c r="I146" s="7"/>
      <c r="J146" s="7"/>
      <c r="K146" s="7"/>
      <c r="L146" s="7"/>
      <c r="M146" s="7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3"/>
      <c r="B147" s="3"/>
      <c r="C147" s="3"/>
      <c r="D147" s="3"/>
      <c r="E147" s="3"/>
      <c r="F147" s="3"/>
      <c r="G147" s="3"/>
      <c r="H147" s="7"/>
      <c r="I147" s="7"/>
      <c r="J147" s="7"/>
      <c r="K147" s="7"/>
      <c r="L147" s="7"/>
      <c r="M147" s="7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3"/>
      <c r="B148" s="3"/>
      <c r="C148" s="3"/>
      <c r="D148" s="3"/>
      <c r="E148" s="3"/>
      <c r="F148" s="3"/>
      <c r="G148" s="3"/>
      <c r="H148" s="7"/>
      <c r="I148" s="7"/>
      <c r="J148" s="7"/>
      <c r="K148" s="7"/>
      <c r="L148" s="7"/>
      <c r="M148" s="7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3"/>
      <c r="B149" s="3"/>
      <c r="C149" s="3"/>
      <c r="D149" s="3"/>
      <c r="E149" s="3"/>
      <c r="F149" s="3"/>
      <c r="G149" s="3"/>
      <c r="H149" s="7"/>
      <c r="I149" s="7"/>
      <c r="J149" s="7"/>
      <c r="K149" s="7"/>
      <c r="L149" s="7"/>
      <c r="M149" s="7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3"/>
      <c r="B150" s="3"/>
      <c r="C150" s="3"/>
      <c r="D150" s="3"/>
      <c r="E150" s="3"/>
      <c r="F150" s="3"/>
      <c r="G150" s="3"/>
      <c r="H150" s="7"/>
      <c r="I150" s="7"/>
      <c r="J150" s="7"/>
      <c r="K150" s="7"/>
      <c r="L150" s="7"/>
      <c r="M150" s="7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3"/>
      <c r="B151" s="3"/>
      <c r="C151" s="3"/>
      <c r="D151" s="3"/>
      <c r="E151" s="3"/>
      <c r="F151" s="3"/>
      <c r="G151" s="3"/>
      <c r="H151" s="7"/>
      <c r="I151" s="7"/>
      <c r="J151" s="7"/>
      <c r="K151" s="7"/>
      <c r="L151" s="7"/>
      <c r="M151" s="7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3"/>
      <c r="B152" s="3"/>
      <c r="C152" s="3"/>
      <c r="D152" s="3"/>
      <c r="E152" s="3"/>
      <c r="F152" s="3"/>
      <c r="G152" s="3"/>
      <c r="H152" s="7"/>
      <c r="I152" s="7"/>
      <c r="J152" s="7"/>
      <c r="K152" s="7"/>
      <c r="L152" s="7"/>
      <c r="M152" s="7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3"/>
      <c r="B153" s="3"/>
      <c r="C153" s="3"/>
      <c r="D153" s="3"/>
      <c r="E153" s="3"/>
      <c r="F153" s="3"/>
      <c r="G153" s="3"/>
      <c r="H153" s="7"/>
      <c r="I153" s="7"/>
      <c r="J153" s="7"/>
      <c r="K153" s="7"/>
      <c r="L153" s="7"/>
      <c r="M153" s="7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3"/>
      <c r="B154" s="3"/>
      <c r="C154" s="3"/>
      <c r="D154" s="3"/>
      <c r="E154" s="3"/>
      <c r="F154" s="3"/>
      <c r="G154" s="3"/>
      <c r="H154" s="7"/>
      <c r="I154" s="7"/>
      <c r="J154" s="7"/>
      <c r="K154" s="7"/>
      <c r="L154" s="7"/>
      <c r="M154" s="7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3"/>
      <c r="B155" s="3"/>
      <c r="C155" s="3"/>
      <c r="D155" s="3"/>
      <c r="E155" s="3"/>
      <c r="F155" s="3"/>
      <c r="G155" s="3"/>
      <c r="H155" s="7"/>
      <c r="I155" s="7"/>
      <c r="J155" s="7"/>
      <c r="K155" s="7"/>
      <c r="L155" s="7"/>
      <c r="M155" s="7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3"/>
      <c r="B156" s="3"/>
      <c r="C156" s="3"/>
      <c r="D156" s="3"/>
      <c r="E156" s="3"/>
      <c r="F156" s="3"/>
      <c r="G156" s="3"/>
      <c r="H156" s="7"/>
      <c r="I156" s="7"/>
      <c r="J156" s="7"/>
      <c r="K156" s="7"/>
      <c r="L156" s="7"/>
      <c r="M156" s="7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3"/>
      <c r="B157" s="3"/>
      <c r="C157" s="3"/>
      <c r="D157" s="3"/>
      <c r="E157" s="3"/>
      <c r="F157" s="3"/>
      <c r="G157" s="3"/>
      <c r="H157" s="7"/>
      <c r="I157" s="7"/>
      <c r="J157" s="7"/>
      <c r="K157" s="7"/>
      <c r="L157" s="7"/>
      <c r="M157" s="7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3"/>
      <c r="B158" s="3"/>
      <c r="C158" s="3"/>
      <c r="D158" s="3"/>
      <c r="E158" s="3"/>
      <c r="F158" s="3"/>
      <c r="G158" s="3"/>
      <c r="H158" s="7"/>
      <c r="I158" s="7"/>
      <c r="J158" s="7"/>
      <c r="K158" s="7"/>
      <c r="L158" s="7"/>
      <c r="M158" s="7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3"/>
      <c r="B159" s="3"/>
      <c r="C159" s="3"/>
      <c r="D159" s="3"/>
      <c r="E159" s="3"/>
      <c r="F159" s="3"/>
      <c r="G159" s="3"/>
      <c r="H159" s="7"/>
      <c r="I159" s="7"/>
      <c r="J159" s="7"/>
      <c r="K159" s="7"/>
      <c r="L159" s="7"/>
      <c r="M159" s="7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3"/>
      <c r="B160" s="3"/>
      <c r="C160" s="3"/>
      <c r="D160" s="3"/>
      <c r="E160" s="3"/>
      <c r="F160" s="3"/>
      <c r="G160" s="3"/>
      <c r="H160" s="7"/>
      <c r="I160" s="7"/>
      <c r="J160" s="7"/>
      <c r="K160" s="7"/>
      <c r="L160" s="7"/>
      <c r="M160" s="7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3"/>
      <c r="B161" s="3"/>
      <c r="C161" s="3"/>
      <c r="D161" s="3"/>
      <c r="E161" s="3"/>
      <c r="F161" s="3"/>
      <c r="G161" s="3"/>
      <c r="H161" s="7"/>
      <c r="I161" s="7"/>
      <c r="J161" s="7"/>
      <c r="K161" s="7"/>
      <c r="L161" s="7"/>
      <c r="M161" s="7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3"/>
      <c r="B162" s="3"/>
      <c r="C162" s="3"/>
      <c r="D162" s="3"/>
      <c r="E162" s="3"/>
      <c r="F162" s="3"/>
      <c r="G162" s="3"/>
      <c r="H162" s="7"/>
      <c r="I162" s="7"/>
      <c r="J162" s="7"/>
      <c r="K162" s="7"/>
      <c r="L162" s="7"/>
      <c r="M162" s="7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3"/>
      <c r="B163" s="3"/>
      <c r="C163" s="3"/>
      <c r="D163" s="3"/>
      <c r="E163" s="3"/>
      <c r="F163" s="3"/>
      <c r="G163" s="3"/>
      <c r="H163" s="7"/>
      <c r="I163" s="7"/>
      <c r="J163" s="7"/>
      <c r="K163" s="7"/>
      <c r="L163" s="7"/>
      <c r="M163" s="7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3"/>
      <c r="B164" s="3"/>
      <c r="C164" s="3"/>
      <c r="D164" s="3"/>
      <c r="E164" s="3"/>
      <c r="F164" s="3"/>
      <c r="G164" s="3"/>
      <c r="H164" s="7"/>
      <c r="I164" s="7"/>
      <c r="J164" s="7"/>
      <c r="K164" s="7"/>
      <c r="L164" s="7"/>
      <c r="M164" s="7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3"/>
      <c r="B165" s="3"/>
      <c r="C165" s="3"/>
      <c r="D165" s="3"/>
      <c r="E165" s="3"/>
      <c r="F165" s="3"/>
      <c r="G165" s="3"/>
      <c r="H165" s="7"/>
      <c r="I165" s="7"/>
      <c r="J165" s="7"/>
      <c r="K165" s="7"/>
      <c r="L165" s="7"/>
      <c r="M165" s="7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3"/>
      <c r="B166" s="3"/>
      <c r="C166" s="3"/>
      <c r="D166" s="3"/>
      <c r="E166" s="3"/>
      <c r="F166" s="3"/>
      <c r="G166" s="3"/>
      <c r="H166" s="7"/>
      <c r="I166" s="7"/>
      <c r="J166" s="7"/>
      <c r="K166" s="7"/>
      <c r="L166" s="7"/>
      <c r="M166" s="7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3"/>
      <c r="B167" s="3"/>
      <c r="C167" s="3"/>
      <c r="D167" s="3"/>
      <c r="E167" s="3"/>
      <c r="F167" s="3"/>
      <c r="G167" s="3"/>
      <c r="H167" s="7"/>
      <c r="I167" s="7"/>
      <c r="J167" s="7"/>
      <c r="K167" s="7"/>
      <c r="L167" s="7"/>
      <c r="M167" s="7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3"/>
      <c r="B168" s="3"/>
      <c r="C168" s="3"/>
      <c r="D168" s="3"/>
      <c r="E168" s="3"/>
      <c r="F168" s="3"/>
      <c r="G168" s="3"/>
      <c r="H168" s="7"/>
      <c r="I168" s="7"/>
      <c r="J168" s="7"/>
      <c r="K168" s="7"/>
      <c r="L168" s="7"/>
      <c r="M168" s="7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3"/>
      <c r="B169" s="3"/>
      <c r="C169" s="3"/>
      <c r="D169" s="3"/>
      <c r="E169" s="3"/>
      <c r="F169" s="3"/>
      <c r="G169" s="3"/>
      <c r="H169" s="7"/>
      <c r="I169" s="7"/>
      <c r="J169" s="7"/>
      <c r="K169" s="7"/>
      <c r="L169" s="7"/>
      <c r="M169" s="7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3"/>
      <c r="B170" s="3"/>
      <c r="C170" s="3"/>
      <c r="D170" s="3"/>
      <c r="E170" s="3"/>
      <c r="F170" s="3"/>
      <c r="G170" s="3"/>
      <c r="H170" s="7"/>
      <c r="I170" s="7"/>
      <c r="J170" s="7"/>
      <c r="K170" s="7"/>
      <c r="L170" s="7"/>
      <c r="M170" s="7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3"/>
      <c r="B171" s="3"/>
      <c r="C171" s="3"/>
      <c r="D171" s="3"/>
      <c r="E171" s="3"/>
      <c r="F171" s="3"/>
      <c r="G171" s="3"/>
      <c r="H171" s="7"/>
      <c r="I171" s="7"/>
      <c r="J171" s="7"/>
      <c r="K171" s="7"/>
      <c r="L171" s="7"/>
      <c r="M171" s="7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3"/>
      <c r="B172" s="3"/>
      <c r="C172" s="3"/>
      <c r="D172" s="3"/>
      <c r="E172" s="3"/>
      <c r="F172" s="3"/>
      <c r="G172" s="3"/>
      <c r="H172" s="7"/>
      <c r="I172" s="7"/>
      <c r="J172" s="7"/>
      <c r="K172" s="7"/>
      <c r="L172" s="7"/>
      <c r="M172" s="7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3"/>
      <c r="B173" s="3"/>
      <c r="C173" s="3"/>
      <c r="D173" s="3"/>
      <c r="E173" s="3"/>
      <c r="F173" s="3"/>
      <c r="G173" s="3"/>
      <c r="H173" s="7"/>
      <c r="I173" s="7"/>
      <c r="J173" s="7"/>
      <c r="K173" s="7"/>
      <c r="L173" s="7"/>
      <c r="M173" s="7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</sheetData>
  <mergeCells count="22">
    <mergeCell ref="D2:F7"/>
    <mergeCell ref="C3:C4"/>
    <mergeCell ref="C9:D9"/>
    <mergeCell ref="C10:E10"/>
    <mergeCell ref="C15:D16"/>
    <mergeCell ref="C17:D17"/>
    <mergeCell ref="A20:B20"/>
    <mergeCell ref="A28:B28"/>
    <mergeCell ref="A29:B29"/>
    <mergeCell ref="A30:B30"/>
    <mergeCell ref="A31:B31"/>
    <mergeCell ref="A32:B32"/>
    <mergeCell ref="A33:B33"/>
    <mergeCell ref="A34:A37"/>
    <mergeCell ref="A38:A41"/>
    <mergeCell ref="A21:B21"/>
    <mergeCell ref="A22:B22"/>
    <mergeCell ref="A23:B23"/>
    <mergeCell ref="A24:B24"/>
    <mergeCell ref="A25:B25"/>
    <mergeCell ref="A26:B26"/>
    <mergeCell ref="A27:B27"/>
  </mergeCells>
  <dataValidations>
    <dataValidation type="list" allowBlank="1" showInputMessage="1" showErrorMessage="1" prompt="Nhấp và nhập một giá trị trong dải ô" sqref="B3">
      <formula1>DuLieuGoc!$B$2:$B1005</formula1>
    </dataValidation>
    <dataValidation type="list" allowBlank="1" showErrorMessage="1" sqref="B4">
      <formula1>'BẢNG TÍNH GIÁ SHOP MALL'!$J$2:$J1005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6.25"/>
    <col customWidth="1" min="2" max="2" width="25.0"/>
    <col customWidth="1" min="3" max="3" width="31.13"/>
    <col customWidth="1" min="4" max="4" width="26.13"/>
    <col customWidth="1" min="5" max="5" width="29.5"/>
    <col customWidth="1" min="6" max="6" width="25.5"/>
    <col customWidth="1" min="9" max="9" width="34.5"/>
    <col customWidth="1" min="10" max="10" width="28.75"/>
    <col customWidth="1" min="11" max="11" width="21.88"/>
    <col customWidth="1" min="12" max="12" width="31.75"/>
  </cols>
  <sheetData>
    <row r="1">
      <c r="A1" s="51" t="s">
        <v>0</v>
      </c>
      <c r="B1" s="52">
        <v>100000.0</v>
      </c>
      <c r="H1" s="53" t="s">
        <v>1</v>
      </c>
      <c r="I1" s="53" t="s">
        <v>2</v>
      </c>
      <c r="J1" s="53" t="s">
        <v>3</v>
      </c>
      <c r="K1" s="53" t="s">
        <v>4</v>
      </c>
      <c r="L1" s="54" t="s">
        <v>48</v>
      </c>
      <c r="X1" s="55" t="str">
        <f>IFERROR(__xludf.DUMMYFUNCTION("FILTER(DuLieuGoc2!C1:C1005, DuLieuGoc2!B1:B1005 = B3)"),"Khác")</f>
        <v>Khác</v>
      </c>
    </row>
    <row r="2">
      <c r="A2" s="51" t="s">
        <v>6</v>
      </c>
      <c r="B2" s="52">
        <v>300000.0</v>
      </c>
      <c r="D2" s="56"/>
      <c r="H2" s="55">
        <f>IFERROR(__xludf.DUMMYFUNCTION("FILTER(DuLieuGoc2!A:F, DuLieuGoc2!B:B=B3)"),451.0)</f>
        <v>451</v>
      </c>
      <c r="I2" s="55" t="str">
        <f>IFERROR(__xludf.DUMMYFUNCTION("""COMPUTED_VALUE"""),"Thể Thao &amp; Dã Ngoại")</f>
        <v>Thể Thao &amp; Dã Ngoại</v>
      </c>
      <c r="J2" s="55" t="str">
        <f>IFERROR(__xludf.DUMMYFUNCTION("""COMPUTED_VALUE"""),"Khác")</f>
        <v>Khác</v>
      </c>
      <c r="K2" s="55"/>
      <c r="L2" s="57">
        <f>IFERROR(__xludf.DUMMYFUNCTION("""COMPUTED_VALUE"""),0.135)</f>
        <v>0.135</v>
      </c>
      <c r="M2" s="55"/>
      <c r="X2" s="55" t="str">
        <f>IFERROR(__xludf.DUMMYFUNCTION("""COMPUTED_VALUE"""),"Phụ Kiện Thể Thao &amp; Dã Ngoại")</f>
        <v>Phụ Kiện Thể Thao &amp; Dã Ngoại</v>
      </c>
    </row>
    <row r="3">
      <c r="A3" s="58" t="s">
        <v>2</v>
      </c>
      <c r="B3" s="59" t="s">
        <v>49</v>
      </c>
      <c r="C3" s="60" t="s">
        <v>8</v>
      </c>
      <c r="H3" s="55">
        <f>IFERROR(__xludf.DUMMYFUNCTION("""COMPUTED_VALUE"""),452.0)</f>
        <v>452</v>
      </c>
      <c r="I3" s="55" t="str">
        <f>IFERROR(__xludf.DUMMYFUNCTION("""COMPUTED_VALUE"""),"Thể Thao &amp; Dã Ngoại")</f>
        <v>Thể Thao &amp; Dã Ngoại</v>
      </c>
      <c r="J3" s="55" t="str">
        <f>IFERROR(__xludf.DUMMYFUNCTION("""COMPUTED_VALUE"""),"Phụ Kiện Thể Thao &amp; Dã Ngoại")</f>
        <v>Phụ Kiện Thể Thao &amp; Dã Ngoại</v>
      </c>
      <c r="K3" s="55" t="str">
        <f>IFERROR(__xludf.DUMMYFUNCTION("""COMPUTED_VALUE"""),"Túi Chống Thấm")</f>
        <v>Túi Chống Thấm</v>
      </c>
      <c r="L3" s="57">
        <f>IFERROR(__xludf.DUMMYFUNCTION("""COMPUTED_VALUE"""),0.135)</f>
        <v>0.135</v>
      </c>
      <c r="M3" s="55"/>
      <c r="X3" s="55" t="str">
        <f>IFERROR(__xludf.DUMMYFUNCTION("""COMPUTED_VALUE"""),"Phụ Kiện Thể Thao &amp; Dã Ngoại")</f>
        <v>Phụ Kiện Thể Thao &amp; Dã Ngoại</v>
      </c>
    </row>
    <row r="4">
      <c r="A4" s="58" t="s">
        <v>3</v>
      </c>
      <c r="B4" s="59" t="s">
        <v>50</v>
      </c>
      <c r="H4" s="55">
        <f>IFERROR(__xludf.DUMMYFUNCTION("""COMPUTED_VALUE"""),453.0)</f>
        <v>453</v>
      </c>
      <c r="I4" s="55" t="str">
        <f>IFERROR(__xludf.DUMMYFUNCTION("""COMPUTED_VALUE"""),"Thể Thao &amp; Dã Ngoại")</f>
        <v>Thể Thao &amp; Dã Ngoại</v>
      </c>
      <c r="J4" s="55" t="str">
        <f>IFERROR(__xludf.DUMMYFUNCTION("""COMPUTED_VALUE"""),"Phụ Kiện Thể Thao &amp; Dã Ngoại")</f>
        <v>Phụ Kiện Thể Thao &amp; Dã Ngoại</v>
      </c>
      <c r="K4" s="55" t="str">
        <f>IFERROR(__xludf.DUMMYFUNCTION("""COMPUTED_VALUE"""),"Đồ Bảo Hộ Gym")</f>
        <v>Đồ Bảo Hộ Gym</v>
      </c>
      <c r="L4" s="57">
        <f>IFERROR(__xludf.DUMMYFUNCTION("""COMPUTED_VALUE"""),0.135)</f>
        <v>0.135</v>
      </c>
      <c r="M4" s="55"/>
      <c r="X4" s="55" t="str">
        <f>IFERROR(__xludf.DUMMYFUNCTION("""COMPUTED_VALUE"""),"Phụ Kiện Thể Thao &amp; Dã Ngoại")</f>
        <v>Phụ Kiện Thể Thao &amp; Dã Ngoại</v>
      </c>
    </row>
    <row r="5" ht="16.5" customHeight="1">
      <c r="A5" s="61" t="s">
        <v>1</v>
      </c>
      <c r="B5" s="62">
        <v>735.0</v>
      </c>
      <c r="C5" s="63"/>
      <c r="H5" s="55">
        <f>IFERROR(__xludf.DUMMYFUNCTION("""COMPUTED_VALUE"""),454.0)</f>
        <v>454</v>
      </c>
      <c r="I5" s="55" t="str">
        <f>IFERROR(__xludf.DUMMYFUNCTION("""COMPUTED_VALUE"""),"Thể Thao &amp; Dã Ngoại")</f>
        <v>Thể Thao &amp; Dã Ngoại</v>
      </c>
      <c r="J5" s="55" t="str">
        <f>IFERROR(__xludf.DUMMYFUNCTION("""COMPUTED_VALUE"""),"Phụ Kiện Thể Thao &amp; Dã Ngoại")</f>
        <v>Phụ Kiện Thể Thao &amp; Dã Ngoại</v>
      </c>
      <c r="K5" s="55" t="str">
        <f>IFERROR(__xludf.DUMMYFUNCTION("""COMPUTED_VALUE"""),"Dụng Cụ Bảo Vệ Miệng &amp; Băng Keo Thể Thao")</f>
        <v>Dụng Cụ Bảo Vệ Miệng &amp; Băng Keo Thể Thao</v>
      </c>
      <c r="L5" s="57">
        <f>IFERROR(__xludf.DUMMYFUNCTION("""COMPUTED_VALUE"""),0.135)</f>
        <v>0.135</v>
      </c>
      <c r="M5" s="55"/>
      <c r="X5" s="55" t="str">
        <f>IFERROR(__xludf.DUMMYFUNCTION("""COMPUTED_VALUE"""),"Phụ Kiện Thể Thao &amp; Dã Ngoại")</f>
        <v>Phụ Kiện Thể Thao &amp; Dã Ngoại</v>
      </c>
    </row>
    <row r="6" ht="16.5" customHeight="1">
      <c r="A6" s="61" t="s">
        <v>12</v>
      </c>
      <c r="B6" s="64" t="str">
        <f>IFERROR(__xludf.DUMMYFUNCTION("IF(AND(B3&lt;&gt;"""", B4&lt;&gt;""""), 
   INDEX(FILTER(DuLieuGoc2!E:E, DuLieuGoc2!B:B=B3, DuLieuGoc2!C:C=B4,DuLieuGoc2!A:A=B5),1),
   """")"),"#N/A")</f>
        <v>#N/A</v>
      </c>
      <c r="C6" s="63"/>
      <c r="H6" s="55">
        <f>IFERROR(__xludf.DUMMYFUNCTION("""COMPUTED_VALUE"""),455.0)</f>
        <v>455</v>
      </c>
      <c r="I6" s="55" t="str">
        <f>IFERROR(__xludf.DUMMYFUNCTION("""COMPUTED_VALUE"""),"Thể Thao &amp; Dã Ngoại")</f>
        <v>Thể Thao &amp; Dã Ngoại</v>
      </c>
      <c r="J6" s="55" t="str">
        <f>IFERROR(__xludf.DUMMYFUNCTION("""COMPUTED_VALUE"""),"Phụ Kiện Thể Thao &amp; Dã Ngoại")</f>
        <v>Phụ Kiện Thể Thao &amp; Dã Ngoại</v>
      </c>
      <c r="K6" s="55" t="str">
        <f>IFERROR(__xludf.DUMMYFUNCTION("""COMPUTED_VALUE"""),"Phụ Kiện Khác")</f>
        <v>Phụ Kiện Khác</v>
      </c>
      <c r="L6" s="57">
        <f>IFERROR(__xludf.DUMMYFUNCTION("""COMPUTED_VALUE"""),0.135)</f>
        <v>0.135</v>
      </c>
      <c r="M6" s="55"/>
      <c r="X6" s="55" t="str">
        <f>IFERROR(__xludf.DUMMYFUNCTION("""COMPUTED_VALUE"""),"Phụ Kiện Thể Thao &amp; Dã Ngoại")</f>
        <v>Phụ Kiện Thể Thao &amp; Dã Ngoại</v>
      </c>
    </row>
    <row r="7">
      <c r="A7" s="61" t="s">
        <v>13</v>
      </c>
      <c r="B7" s="65">
        <v>0.0491</v>
      </c>
      <c r="C7" s="63" t="s">
        <v>14</v>
      </c>
      <c r="H7" s="55">
        <f>IFERROR(__xludf.DUMMYFUNCTION("""COMPUTED_VALUE"""),456.0)</f>
        <v>456</v>
      </c>
      <c r="I7" s="55" t="str">
        <f>IFERROR(__xludf.DUMMYFUNCTION("""COMPUTED_VALUE"""),"Thể Thao &amp; Dã Ngoại")</f>
        <v>Thể Thao &amp; Dã Ngoại</v>
      </c>
      <c r="J7" s="55" t="str">
        <f>IFERROR(__xludf.DUMMYFUNCTION("""COMPUTED_VALUE"""),"Phụ Kiện Thể Thao &amp; Dã Ngoại")</f>
        <v>Phụ Kiện Thể Thao &amp; Dã Ngoại</v>
      </c>
      <c r="K7" s="55" t="str">
        <f>IFERROR(__xludf.DUMMYFUNCTION("""COMPUTED_VALUE"""),"Áo Mưa")</f>
        <v>Áo Mưa</v>
      </c>
      <c r="L7" s="57">
        <f>IFERROR(__xludf.DUMMYFUNCTION("""COMPUTED_VALUE"""),0.135)</f>
        <v>0.135</v>
      </c>
      <c r="M7" s="55"/>
      <c r="X7" s="55" t="str">
        <f>IFERROR(__xludf.DUMMYFUNCTION("""COMPUTED_VALUE"""),"Phụ Kiện Thể Thao &amp; Dã Ngoại")</f>
        <v>Phụ Kiện Thể Thao &amp; Dã Ngoại</v>
      </c>
    </row>
    <row r="8">
      <c r="A8" s="61" t="s">
        <v>11</v>
      </c>
      <c r="B8" s="66">
        <v>3000.0</v>
      </c>
      <c r="C8" s="63"/>
      <c r="D8" s="63"/>
      <c r="H8" s="55">
        <f>IFERROR(__xludf.DUMMYFUNCTION("""COMPUTED_VALUE"""),457.0)</f>
        <v>457</v>
      </c>
      <c r="I8" s="55" t="str">
        <f>IFERROR(__xludf.DUMMYFUNCTION("""COMPUTED_VALUE"""),"Thể Thao &amp; Dã Ngoại")</f>
        <v>Thể Thao &amp; Dã Ngoại</v>
      </c>
      <c r="J8" s="55" t="str">
        <f>IFERROR(__xludf.DUMMYFUNCTION("""COMPUTED_VALUE"""),"Phụ Kiện Thể Thao &amp; Dã Ngoại")</f>
        <v>Phụ Kiện Thể Thao &amp; Dã Ngoại</v>
      </c>
      <c r="K8" s="55" t="str">
        <f>IFERROR(__xludf.DUMMYFUNCTION("""COMPUTED_VALUE"""),"Túi Đựng Giày")</f>
        <v>Túi Đựng Giày</v>
      </c>
      <c r="L8" s="57">
        <f>IFERROR(__xludf.DUMMYFUNCTION("""COMPUTED_VALUE"""),0.135)</f>
        <v>0.135</v>
      </c>
      <c r="M8" s="55"/>
      <c r="X8" s="55" t="str">
        <f>IFERROR(__xludf.DUMMYFUNCTION("""COMPUTED_VALUE"""),"Phụ Kiện Thể Thao &amp; Dã Ngoại")</f>
        <v>Phụ Kiện Thể Thao &amp; Dã Ngoại</v>
      </c>
    </row>
    <row r="9">
      <c r="A9" s="67" t="s">
        <v>15</v>
      </c>
      <c r="B9" s="68">
        <v>0.04</v>
      </c>
      <c r="C9" s="63" t="s">
        <v>51</v>
      </c>
      <c r="H9" s="55">
        <f>IFERROR(__xludf.DUMMYFUNCTION("""COMPUTED_VALUE"""),458.0)</f>
        <v>458</v>
      </c>
      <c r="I9" s="55" t="str">
        <f>IFERROR(__xludf.DUMMYFUNCTION("""COMPUTED_VALUE"""),"Thể Thao &amp; Dã Ngoại")</f>
        <v>Thể Thao &amp; Dã Ngoại</v>
      </c>
      <c r="J9" s="55" t="str">
        <f>IFERROR(__xludf.DUMMYFUNCTION("""COMPUTED_VALUE"""),"Phụ Kiện Thể Thao &amp; Dã Ngoại")</f>
        <v>Phụ Kiện Thể Thao &amp; Dã Ngoại</v>
      </c>
      <c r="K9" s="55" t="str">
        <f>IFERROR(__xludf.DUMMYFUNCTION("""COMPUTED_VALUE"""),"Mũ Thể Thao &amp; Dã Ngoại")</f>
        <v>Mũ Thể Thao &amp; Dã Ngoại</v>
      </c>
      <c r="L9" s="57">
        <f>IFERROR(__xludf.DUMMYFUNCTION("""COMPUTED_VALUE"""),0.135)</f>
        <v>0.135</v>
      </c>
      <c r="M9" s="55"/>
      <c r="X9" s="55" t="str">
        <f>IFERROR(__xludf.DUMMYFUNCTION("""COMPUTED_VALUE"""),"Phụ Kiện Thể Thao &amp; Dã Ngoại")</f>
        <v>Phụ Kiện Thể Thao &amp; Dã Ngoại</v>
      </c>
    </row>
    <row r="10">
      <c r="A10" s="67" t="s">
        <v>16</v>
      </c>
      <c r="B10" s="69">
        <v>15000.0</v>
      </c>
      <c r="C10" s="63" t="s">
        <v>17</v>
      </c>
      <c r="H10" s="55">
        <f>IFERROR(__xludf.DUMMYFUNCTION("""COMPUTED_VALUE"""),459.0)</f>
        <v>459</v>
      </c>
      <c r="I10" s="55" t="str">
        <f>IFERROR(__xludf.DUMMYFUNCTION("""COMPUTED_VALUE"""),"Thể Thao &amp; Dã Ngoại")</f>
        <v>Thể Thao &amp; Dã Ngoại</v>
      </c>
      <c r="J10" s="55" t="str">
        <f>IFERROR(__xludf.DUMMYFUNCTION("""COMPUTED_VALUE"""),"Phụ Kiện Thể Thao &amp; Dã Ngoại")</f>
        <v>Phụ Kiện Thể Thao &amp; Dã Ngoại</v>
      </c>
      <c r="K10" s="55" t="str">
        <f>IFERROR(__xludf.DUMMYFUNCTION("""COMPUTED_VALUE"""),"Băng Đô Thể Thao")</f>
        <v>Băng Đô Thể Thao</v>
      </c>
      <c r="L10" s="57">
        <f>IFERROR(__xludf.DUMMYFUNCTION("""COMPUTED_VALUE"""),0.135)</f>
        <v>0.135</v>
      </c>
      <c r="M10" s="55"/>
      <c r="X10" s="55" t="str">
        <f>IFERROR(__xludf.DUMMYFUNCTION("""COMPUTED_VALUE"""),"Phụ Kiện Thể Thao &amp; Dã Ngoại")</f>
        <v>Phụ Kiện Thể Thao &amp; Dã Ngoại</v>
      </c>
    </row>
    <row r="11">
      <c r="A11" s="61" t="s">
        <v>18</v>
      </c>
      <c r="B11" s="66">
        <v>1620.0</v>
      </c>
      <c r="C11" s="63"/>
      <c r="E11" s="63" t="s">
        <v>52</v>
      </c>
      <c r="H11" s="55">
        <f>IFERROR(__xludf.DUMMYFUNCTION("""COMPUTED_VALUE"""),460.0)</f>
        <v>460</v>
      </c>
      <c r="I11" s="55" t="str">
        <f>IFERROR(__xludf.DUMMYFUNCTION("""COMPUTED_VALUE"""),"Thể Thao &amp; Dã Ngoại")</f>
        <v>Thể Thao &amp; Dã Ngoại</v>
      </c>
      <c r="J11" s="55" t="str">
        <f>IFERROR(__xludf.DUMMYFUNCTION("""COMPUTED_VALUE"""),"Phụ Kiện Thể Thao &amp; Dã Ngoại")</f>
        <v>Phụ Kiện Thể Thao &amp; Dã Ngoại</v>
      </c>
      <c r="K11" s="55" t="str">
        <f>IFERROR(__xludf.DUMMYFUNCTION("""COMPUTED_VALUE"""),"Vòng Tay Thể Thao")</f>
        <v>Vòng Tay Thể Thao</v>
      </c>
      <c r="L11" s="57">
        <f>IFERROR(__xludf.DUMMYFUNCTION("""COMPUTED_VALUE"""),0.135)</f>
        <v>0.135</v>
      </c>
      <c r="M11" s="55"/>
      <c r="X11" s="55" t="str">
        <f>IFERROR(__xludf.DUMMYFUNCTION("""COMPUTED_VALUE"""),"Phụ Kiện Thể Thao &amp; Dã Ngoại")</f>
        <v>Phụ Kiện Thể Thao &amp; Dã Ngoại</v>
      </c>
    </row>
    <row r="12">
      <c r="A12" s="58" t="s">
        <v>19</v>
      </c>
      <c r="B12" s="59">
        <v>0.1</v>
      </c>
      <c r="C12" s="63" t="s">
        <v>20</v>
      </c>
      <c r="H12" s="55">
        <f>IFERROR(__xludf.DUMMYFUNCTION("""COMPUTED_VALUE"""),461.0)</f>
        <v>461</v>
      </c>
      <c r="I12" s="55" t="str">
        <f>IFERROR(__xludf.DUMMYFUNCTION("""COMPUTED_VALUE"""),"Thể Thao &amp; Dã Ngoại")</f>
        <v>Thể Thao &amp; Dã Ngoại</v>
      </c>
      <c r="J12" s="55" t="str">
        <f>IFERROR(__xludf.DUMMYFUNCTION("""COMPUTED_VALUE"""),"Phụ Kiện Thể Thao &amp; Dã Ngoại")</f>
        <v>Phụ Kiện Thể Thao &amp; Dã Ngoại</v>
      </c>
      <c r="K12" s="55" t="str">
        <f>IFERROR(__xludf.DUMMYFUNCTION("""COMPUTED_VALUE"""),"Đồng Hồ Bấm Giây &amp; Máy Đếm Bước Chân")</f>
        <v>Đồng Hồ Bấm Giây &amp; Máy Đếm Bước Chân</v>
      </c>
      <c r="L12" s="57">
        <f>IFERROR(__xludf.DUMMYFUNCTION("""COMPUTED_VALUE"""),0.135)</f>
        <v>0.135</v>
      </c>
      <c r="M12" s="55"/>
      <c r="X12" s="55" t="str">
        <f>IFERROR(__xludf.DUMMYFUNCTION("""COMPUTED_VALUE"""),"Phụ Kiện Thể Thao &amp; Dã Ngoại")</f>
        <v>Phụ Kiện Thể Thao &amp; Dã Ngoại</v>
      </c>
    </row>
    <row r="13">
      <c r="A13" s="58" t="s">
        <v>21</v>
      </c>
      <c r="B13" s="59">
        <v>0.05</v>
      </c>
      <c r="C13" s="63" t="s">
        <v>22</v>
      </c>
      <c r="H13" s="55">
        <f>IFERROR(__xludf.DUMMYFUNCTION("""COMPUTED_VALUE"""),462.0)</f>
        <v>462</v>
      </c>
      <c r="I13" s="55" t="str">
        <f>IFERROR(__xludf.DUMMYFUNCTION("""COMPUTED_VALUE"""),"Thể Thao &amp; Dã Ngoại")</f>
        <v>Thể Thao &amp; Dã Ngoại</v>
      </c>
      <c r="J13" s="55" t="str">
        <f>IFERROR(__xludf.DUMMYFUNCTION("""COMPUTED_VALUE"""),"Phụ Kiện Thể Thao &amp; Dã Ngoại")</f>
        <v>Phụ Kiện Thể Thao &amp; Dã Ngoại</v>
      </c>
      <c r="K13" s="55" t="str">
        <f>IFERROR(__xludf.DUMMYFUNCTION("""COMPUTED_VALUE"""),"Phụ Kiện Tập Luyện")</f>
        <v>Phụ Kiện Tập Luyện</v>
      </c>
      <c r="L13" s="57">
        <f>IFERROR(__xludf.DUMMYFUNCTION("""COMPUTED_VALUE"""),0.135)</f>
        <v>0.135</v>
      </c>
      <c r="M13" s="55"/>
      <c r="X13" s="55" t="str">
        <f>IFERROR(__xludf.DUMMYFUNCTION("""COMPUTED_VALUE"""),"Phụ Kiện Thể Thao &amp; Dã Ngoại")</f>
        <v>Phụ Kiện Thể Thao &amp; Dã Ngoại</v>
      </c>
    </row>
    <row r="14">
      <c r="A14" s="61" t="s">
        <v>23</v>
      </c>
      <c r="B14" s="70">
        <v>0.015</v>
      </c>
      <c r="H14" s="55">
        <f>IFERROR(__xludf.DUMMYFUNCTION("""COMPUTED_VALUE"""),463.0)</f>
        <v>463</v>
      </c>
      <c r="I14" s="55" t="str">
        <f>IFERROR(__xludf.DUMMYFUNCTION("""COMPUTED_VALUE"""),"Thể Thao &amp; Dã Ngoại")</f>
        <v>Thể Thao &amp; Dã Ngoại</v>
      </c>
      <c r="J14" s="55" t="str">
        <f>IFERROR(__xludf.DUMMYFUNCTION("""COMPUTED_VALUE"""),"Phụ Kiện Thể Thao &amp; Dã Ngoại")</f>
        <v>Phụ Kiện Thể Thao &amp; Dã Ngoại</v>
      </c>
      <c r="K14" s="55" t="str">
        <f>IFERROR(__xludf.DUMMYFUNCTION("""COMPUTED_VALUE"""),"Ô/Dù")</f>
        <v>Ô/Dù</v>
      </c>
      <c r="L14" s="57">
        <f>IFERROR(__xludf.DUMMYFUNCTION("""COMPUTED_VALUE"""),0.135)</f>
        <v>0.135</v>
      </c>
      <c r="M14" s="55"/>
      <c r="X14" s="55" t="str">
        <f>IFERROR(__xludf.DUMMYFUNCTION("""COMPUTED_VALUE"""),"Thời Trang Thể Thao &amp; Dã Ngoại")</f>
        <v>Thời Trang Thể Thao &amp; Dã Ngoại</v>
      </c>
    </row>
    <row r="15">
      <c r="A15" s="58" t="s">
        <v>24</v>
      </c>
      <c r="B15" s="59">
        <v>0.03</v>
      </c>
      <c r="C15" s="71" t="s">
        <v>25</v>
      </c>
      <c r="H15" s="55">
        <f>IFERROR(__xludf.DUMMYFUNCTION("""COMPUTED_VALUE"""),464.0)</f>
        <v>464</v>
      </c>
      <c r="I15" s="55" t="str">
        <f>IFERROR(__xludf.DUMMYFUNCTION("""COMPUTED_VALUE"""),"Thể Thao &amp; Dã Ngoại")</f>
        <v>Thể Thao &amp; Dã Ngoại</v>
      </c>
      <c r="J15" s="55" t="str">
        <f>IFERROR(__xludf.DUMMYFUNCTION("""COMPUTED_VALUE"""),"Thời Trang Thể Thao &amp; Dã Ngoại")</f>
        <v>Thời Trang Thể Thao &amp; Dã Ngoại</v>
      </c>
      <c r="K15" s="55" t="str">
        <f>IFERROR(__xludf.DUMMYFUNCTION("""COMPUTED_VALUE"""),"Quần Thể Thao")</f>
        <v>Quần Thể Thao</v>
      </c>
      <c r="L15" s="57">
        <f>IFERROR(__xludf.DUMMYFUNCTION("""COMPUTED_VALUE"""),0.135)</f>
        <v>0.135</v>
      </c>
      <c r="M15" s="55"/>
      <c r="X15" s="55" t="str">
        <f>IFERROR(__xludf.DUMMYFUNCTION("""COMPUTED_VALUE"""),"Thời Trang Thể Thao &amp; Dã Ngoại")</f>
        <v>Thời Trang Thể Thao &amp; Dã Ngoại</v>
      </c>
    </row>
    <row r="16">
      <c r="A16" s="72" t="s">
        <v>26</v>
      </c>
      <c r="B16" s="73">
        <v>50000.0</v>
      </c>
      <c r="H16" s="55">
        <f>IFERROR(__xludf.DUMMYFUNCTION("""COMPUTED_VALUE"""),465.0)</f>
        <v>465</v>
      </c>
      <c r="I16" s="55" t="str">
        <f>IFERROR(__xludf.DUMMYFUNCTION("""COMPUTED_VALUE"""),"Thể Thao &amp; Dã Ngoại")</f>
        <v>Thể Thao &amp; Dã Ngoại</v>
      </c>
      <c r="J16" s="55" t="str">
        <f>IFERROR(__xludf.DUMMYFUNCTION("""COMPUTED_VALUE"""),"Thời Trang Thể Thao &amp; Dã Ngoại")</f>
        <v>Thời Trang Thể Thao &amp; Dã Ngoại</v>
      </c>
      <c r="K16" s="55" t="str">
        <f>IFERROR(__xludf.DUMMYFUNCTION("""COMPUTED_VALUE"""),"Áo Khoác")</f>
        <v>Áo Khoác</v>
      </c>
      <c r="L16" s="57">
        <f>IFERROR(__xludf.DUMMYFUNCTION("""COMPUTED_VALUE"""),0.135)</f>
        <v>0.135</v>
      </c>
      <c r="M16" s="55"/>
      <c r="X16" s="55" t="str">
        <f>IFERROR(__xludf.DUMMYFUNCTION("""COMPUTED_VALUE"""),"Thời Trang Thể Thao &amp; Dã Ngoại")</f>
        <v>Thời Trang Thể Thao &amp; Dã Ngoại</v>
      </c>
    </row>
    <row r="17">
      <c r="A17" s="72" t="s">
        <v>27</v>
      </c>
      <c r="B17" s="74">
        <f>(B16*B15)/(1-B15)</f>
        <v>1546.391753</v>
      </c>
      <c r="C17" s="75" t="s">
        <v>53</v>
      </c>
      <c r="H17" s="55">
        <f>IFERROR(__xludf.DUMMYFUNCTION("""COMPUTED_VALUE"""),466.0)</f>
        <v>466</v>
      </c>
      <c r="I17" s="55" t="str">
        <f>IFERROR(__xludf.DUMMYFUNCTION("""COMPUTED_VALUE"""),"Thể Thao &amp; Dã Ngoại")</f>
        <v>Thể Thao &amp; Dã Ngoại</v>
      </c>
      <c r="J17" s="55" t="str">
        <f>IFERROR(__xludf.DUMMYFUNCTION("""COMPUTED_VALUE"""),"Thời Trang Thể Thao &amp; Dã Ngoại")</f>
        <v>Thời Trang Thể Thao &amp; Dã Ngoại</v>
      </c>
      <c r="K17" s="55" t="str">
        <f>IFERROR(__xludf.DUMMYFUNCTION("""COMPUTED_VALUE"""),"Áo CLB")</f>
        <v>Áo CLB</v>
      </c>
      <c r="L17" s="57">
        <f>IFERROR(__xludf.DUMMYFUNCTION("""COMPUTED_VALUE"""),0.135)</f>
        <v>0.135</v>
      </c>
      <c r="M17" s="55"/>
      <c r="X17" s="55" t="str">
        <f>IFERROR(__xludf.DUMMYFUNCTION("""COMPUTED_VALUE"""),"Thời Trang Thể Thao &amp; Dã Ngoại")</f>
        <v>Thời Trang Thể Thao &amp; Dã Ngoại</v>
      </c>
    </row>
    <row r="18">
      <c r="H18" s="55">
        <f>IFERROR(__xludf.DUMMYFUNCTION("""COMPUTED_VALUE"""),467.0)</f>
        <v>467</v>
      </c>
      <c r="I18" s="55" t="str">
        <f>IFERROR(__xludf.DUMMYFUNCTION("""COMPUTED_VALUE"""),"Thể Thao &amp; Dã Ngoại")</f>
        <v>Thể Thao &amp; Dã Ngoại</v>
      </c>
      <c r="J18" s="55" t="str">
        <f>IFERROR(__xludf.DUMMYFUNCTION("""COMPUTED_VALUE"""),"Thời Trang Thể Thao &amp; Dã Ngoại")</f>
        <v>Thời Trang Thể Thao &amp; Dã Ngoại</v>
      </c>
      <c r="K18" s="55" t="str">
        <f>IFERROR(__xludf.DUMMYFUNCTION("""COMPUTED_VALUE"""),"Thời Trang Thể Thao Trẻ Em")</f>
        <v>Thời Trang Thể Thao Trẻ Em</v>
      </c>
      <c r="L18" s="57">
        <f>IFERROR(__xludf.DUMMYFUNCTION("""COMPUTED_VALUE"""),0.135)</f>
        <v>0.135</v>
      </c>
      <c r="M18" s="55"/>
      <c r="X18" s="55" t="str">
        <f>IFERROR(__xludf.DUMMYFUNCTION("""COMPUTED_VALUE"""),"Thời Trang Thể Thao &amp; Dã Ngoại")</f>
        <v>Thời Trang Thể Thao &amp; Dã Ngoại</v>
      </c>
    </row>
    <row r="19">
      <c r="H19" s="55">
        <f>IFERROR(__xludf.DUMMYFUNCTION("""COMPUTED_VALUE"""),468.0)</f>
        <v>468</v>
      </c>
      <c r="I19" s="55" t="str">
        <f>IFERROR(__xludf.DUMMYFUNCTION("""COMPUTED_VALUE"""),"Thể Thao &amp; Dã Ngoại")</f>
        <v>Thể Thao &amp; Dã Ngoại</v>
      </c>
      <c r="J19" s="55" t="str">
        <f>IFERROR(__xludf.DUMMYFUNCTION("""COMPUTED_VALUE"""),"Thời Trang Thể Thao &amp; Dã Ngoại")</f>
        <v>Thời Trang Thể Thao &amp; Dã Ngoại</v>
      </c>
      <c r="K19" s="55" t="str">
        <f>IFERROR(__xludf.DUMMYFUNCTION("""COMPUTED_VALUE"""),"Khác")</f>
        <v>Khác</v>
      </c>
      <c r="L19" s="57">
        <f>IFERROR(__xludf.DUMMYFUNCTION("""COMPUTED_VALUE"""),0.135)</f>
        <v>0.135</v>
      </c>
      <c r="M19" s="55"/>
      <c r="X19" s="55" t="str">
        <f>IFERROR(__xludf.DUMMYFUNCTION("""COMPUTED_VALUE"""),"Thời Trang Thể Thao &amp; Dã Ngoại")</f>
        <v>Thời Trang Thể Thao &amp; Dã Ngoại</v>
      </c>
    </row>
    <row r="20">
      <c r="A20" s="76"/>
      <c r="B20" s="27"/>
      <c r="C20" s="77" t="s">
        <v>29</v>
      </c>
      <c r="D20" s="78" t="s">
        <v>30</v>
      </c>
      <c r="E20" s="79"/>
      <c r="F20" s="80"/>
      <c r="H20" s="55">
        <f>IFERROR(__xludf.DUMMYFUNCTION("""COMPUTED_VALUE"""),469.0)</f>
        <v>469</v>
      </c>
      <c r="I20" s="55" t="str">
        <f>IFERROR(__xludf.DUMMYFUNCTION("""COMPUTED_VALUE"""),"Thể Thao &amp; Dã Ngoại")</f>
        <v>Thể Thao &amp; Dã Ngoại</v>
      </c>
      <c r="J20" s="55" t="str">
        <f>IFERROR(__xludf.DUMMYFUNCTION("""COMPUTED_VALUE"""),"Thời Trang Thể Thao &amp; Dã Ngoại")</f>
        <v>Thời Trang Thể Thao &amp; Dã Ngoại</v>
      </c>
      <c r="K20" s="55" t="str">
        <f>IFERROR(__xludf.DUMMYFUNCTION("""COMPUTED_VALUE"""),"Bộ Đồ Thể Thao")</f>
        <v>Bộ Đồ Thể Thao</v>
      </c>
      <c r="L20" s="57">
        <f>IFERROR(__xludf.DUMMYFUNCTION("""COMPUTED_VALUE"""),0.135)</f>
        <v>0.135</v>
      </c>
      <c r="M20" s="55"/>
      <c r="X20" s="55" t="str">
        <f>IFERROR(__xludf.DUMMYFUNCTION("""COMPUTED_VALUE"""),"Thời Trang Thể Thao &amp; Dã Ngoại")</f>
        <v>Thời Trang Thể Thao &amp; Dã Ngoại</v>
      </c>
    </row>
    <row r="21">
      <c r="A21" s="81" t="s">
        <v>31</v>
      </c>
      <c r="B21" s="27"/>
      <c r="C21" s="74">
        <f t="shared" ref="C21:D21" si="1">$B$2</f>
        <v>300000</v>
      </c>
      <c r="D21" s="82">
        <f t="shared" si="1"/>
        <v>300000</v>
      </c>
      <c r="E21" s="83"/>
      <c r="F21" s="84"/>
      <c r="H21" s="55">
        <f>IFERROR(__xludf.DUMMYFUNCTION("""COMPUTED_VALUE"""),470.0)</f>
        <v>470</v>
      </c>
      <c r="I21" s="55" t="str">
        <f>IFERROR(__xludf.DUMMYFUNCTION("""COMPUTED_VALUE"""),"Thể Thao &amp; Dã Ngoại")</f>
        <v>Thể Thao &amp; Dã Ngoại</v>
      </c>
      <c r="J21" s="55" t="str">
        <f>IFERROR(__xludf.DUMMYFUNCTION("""COMPUTED_VALUE"""),"Thời Trang Thể Thao &amp; Dã Ngoại")</f>
        <v>Thời Trang Thể Thao &amp; Dã Ngoại</v>
      </c>
      <c r="K21" s="55" t="str">
        <f>IFERROR(__xludf.DUMMYFUNCTION("""COMPUTED_VALUE"""),"Áo Lót Thể Thao")</f>
        <v>Áo Lót Thể Thao</v>
      </c>
      <c r="L21" s="57">
        <f>IFERROR(__xludf.DUMMYFUNCTION("""COMPUTED_VALUE"""),0.135)</f>
        <v>0.135</v>
      </c>
      <c r="M21" s="55"/>
      <c r="X21" s="55" t="str">
        <f>IFERROR(__xludf.DUMMYFUNCTION("""COMPUTED_VALUE"""),"Thời Trang Thể Thao &amp; Dã Ngoại")</f>
        <v>Thời Trang Thể Thao &amp; Dã Ngoại</v>
      </c>
    </row>
    <row r="22">
      <c r="A22" s="81" t="s">
        <v>0</v>
      </c>
      <c r="B22" s="27"/>
      <c r="C22" s="74">
        <f t="shared" ref="C22:D22" si="2">$B$1</f>
        <v>100000</v>
      </c>
      <c r="D22" s="82">
        <f t="shared" si="2"/>
        <v>100000</v>
      </c>
      <c r="E22" s="83"/>
      <c r="F22" s="84"/>
      <c r="H22" s="55">
        <f>IFERROR(__xludf.DUMMYFUNCTION("""COMPUTED_VALUE"""),471.0)</f>
        <v>471</v>
      </c>
      <c r="I22" s="55" t="str">
        <f>IFERROR(__xludf.DUMMYFUNCTION("""COMPUTED_VALUE"""),"Thể Thao &amp; Dã Ngoại")</f>
        <v>Thể Thao &amp; Dã Ngoại</v>
      </c>
      <c r="J22" s="55" t="str">
        <f>IFERROR(__xludf.DUMMYFUNCTION("""COMPUTED_VALUE"""),"Thời Trang Thể Thao &amp; Dã Ngoại")</f>
        <v>Thời Trang Thể Thao &amp; Dã Ngoại</v>
      </c>
      <c r="K22" s="55" t="str">
        <f>IFERROR(__xludf.DUMMYFUNCTION("""COMPUTED_VALUE"""),"Đồ Bơi")</f>
        <v>Đồ Bơi</v>
      </c>
      <c r="L22" s="57">
        <f>IFERROR(__xludf.DUMMYFUNCTION("""COMPUTED_VALUE"""),0.135)</f>
        <v>0.135</v>
      </c>
      <c r="M22" s="55"/>
      <c r="X22" s="55" t="str">
        <f>IFERROR(__xludf.DUMMYFUNCTION("""COMPUTED_VALUE"""),"Thời Trang Thể Thao &amp; Dã Ngoại")</f>
        <v>Thời Trang Thể Thao &amp; Dã Ngoại</v>
      </c>
    </row>
    <row r="23">
      <c r="A23" s="81" t="s">
        <v>32</v>
      </c>
      <c r="B23" s="27"/>
      <c r="C23" s="74">
        <f t="shared" ref="C23:D23" si="3">C$21-C$22</f>
        <v>200000</v>
      </c>
      <c r="D23" s="82">
        <f t="shared" si="3"/>
        <v>200000</v>
      </c>
      <c r="E23" s="83"/>
      <c r="F23" s="84"/>
      <c r="H23" s="55">
        <f>IFERROR(__xludf.DUMMYFUNCTION("""COMPUTED_VALUE"""),472.0)</f>
        <v>472</v>
      </c>
      <c r="I23" s="55" t="str">
        <f>IFERROR(__xludf.DUMMYFUNCTION("""COMPUTED_VALUE"""),"Thể Thao &amp; Dã Ngoại")</f>
        <v>Thể Thao &amp; Dã Ngoại</v>
      </c>
      <c r="J23" s="55" t="str">
        <f>IFERROR(__xludf.DUMMYFUNCTION("""COMPUTED_VALUE"""),"Thời Trang Thể Thao &amp; Dã Ngoại")</f>
        <v>Thời Trang Thể Thao &amp; Dã Ngoại</v>
      </c>
      <c r="K23" s="55" t="str">
        <f>IFERROR(__xludf.DUMMYFUNCTION("""COMPUTED_VALUE"""),"Áo Thể Thao")</f>
        <v>Áo Thể Thao</v>
      </c>
      <c r="L23" s="57">
        <f>IFERROR(__xludf.DUMMYFUNCTION("""COMPUTED_VALUE"""),0.135)</f>
        <v>0.135</v>
      </c>
      <c r="M23" s="55"/>
      <c r="X23" s="55" t="str">
        <f>IFERROR(__xludf.DUMMYFUNCTION("""COMPUTED_VALUE"""),"Dụng Cụ Thể Thao &amp; Dã Ngoại")</f>
        <v>Dụng Cụ Thể Thao &amp; Dã Ngoại</v>
      </c>
    </row>
    <row r="24">
      <c r="A24" s="85" t="s">
        <v>33</v>
      </c>
      <c r="B24" s="27"/>
      <c r="C24" s="86" t="str">
        <f t="shared" ref="C24:D24" si="4">$B$6*C21</f>
        <v>#N/A</v>
      </c>
      <c r="D24" s="87" t="str">
        <f t="shared" si="4"/>
        <v>#N/A</v>
      </c>
      <c r="E24" s="88"/>
      <c r="F24" s="89"/>
      <c r="H24" s="55">
        <f>IFERROR(__xludf.DUMMYFUNCTION("""COMPUTED_VALUE"""),473.0)</f>
        <v>473</v>
      </c>
      <c r="I24" s="55" t="str">
        <f>IFERROR(__xludf.DUMMYFUNCTION("""COMPUTED_VALUE"""),"Thể Thao &amp; Dã Ngoại")</f>
        <v>Thể Thao &amp; Dã Ngoại</v>
      </c>
      <c r="J24" s="55" t="str">
        <f>IFERROR(__xludf.DUMMYFUNCTION("""COMPUTED_VALUE"""),"Dụng Cụ Thể Thao &amp; Dã Ngoại")</f>
        <v>Dụng Cụ Thể Thao &amp; Dã Ngoại</v>
      </c>
      <c r="K24" s="55" t="str">
        <f>IFERROR(__xludf.DUMMYFUNCTION("""COMPUTED_VALUE"""),"Bắn Cung")</f>
        <v>Bắn Cung</v>
      </c>
      <c r="L24" s="57">
        <f>IFERROR(__xludf.DUMMYFUNCTION("""COMPUTED_VALUE"""),0.125)</f>
        <v>0.125</v>
      </c>
      <c r="M24" s="55"/>
      <c r="X24" s="55" t="str">
        <f>IFERROR(__xludf.DUMMYFUNCTION("""COMPUTED_VALUE"""),"Dụng Cụ Thể Thao &amp; Dã Ngoại")</f>
        <v>Dụng Cụ Thể Thao &amp; Dã Ngoại</v>
      </c>
    </row>
    <row r="25">
      <c r="A25" s="85" t="s">
        <v>34</v>
      </c>
      <c r="B25" s="27"/>
      <c r="C25" s="86">
        <f t="shared" ref="C25:D25" si="5">$B$7*(C21+$B$10-C21*$B$13)</f>
        <v>14730</v>
      </c>
      <c r="D25" s="87">
        <f t="shared" si="5"/>
        <v>14730</v>
      </c>
      <c r="E25" s="88"/>
      <c r="F25" s="89"/>
      <c r="H25" s="55">
        <f>IFERROR(__xludf.DUMMYFUNCTION("""COMPUTED_VALUE"""),474.0)</f>
        <v>474</v>
      </c>
      <c r="I25" s="55" t="str">
        <f>IFERROR(__xludf.DUMMYFUNCTION("""COMPUTED_VALUE"""),"Thể Thao &amp; Dã Ngoại")</f>
        <v>Thể Thao &amp; Dã Ngoại</v>
      </c>
      <c r="J25" s="55" t="str">
        <f>IFERROR(__xludf.DUMMYFUNCTION("""COMPUTED_VALUE"""),"Dụng Cụ Thể Thao &amp; Dã Ngoại")</f>
        <v>Dụng Cụ Thể Thao &amp; Dã Ngoại</v>
      </c>
      <c r="K25" s="55" t="str">
        <f>IFERROR(__xludf.DUMMYFUNCTION("""COMPUTED_VALUE"""),"Cầu Lông")</f>
        <v>Cầu Lông</v>
      </c>
      <c r="L25" s="57">
        <f>IFERROR(__xludf.DUMMYFUNCTION("""COMPUTED_VALUE"""),0.125)</f>
        <v>0.125</v>
      </c>
      <c r="M25" s="55"/>
      <c r="X25" s="55" t="str">
        <f>IFERROR(__xludf.DUMMYFUNCTION("""COMPUTED_VALUE"""),"Dụng Cụ Thể Thao &amp; Dã Ngoại")</f>
        <v>Dụng Cụ Thể Thao &amp; Dã Ngoại</v>
      </c>
    </row>
    <row r="26">
      <c r="A26" s="85" t="s">
        <v>35</v>
      </c>
      <c r="B26" s="27"/>
      <c r="C26" s="86">
        <f t="shared" ref="C26:D26" si="6">$B$8</f>
        <v>3000</v>
      </c>
      <c r="D26" s="87">
        <f t="shared" si="6"/>
        <v>3000</v>
      </c>
      <c r="E26" s="88"/>
      <c r="F26" s="89"/>
      <c r="H26" s="55">
        <f>IFERROR(__xludf.DUMMYFUNCTION("""COMPUTED_VALUE"""),475.0)</f>
        <v>475</v>
      </c>
      <c r="I26" s="55" t="str">
        <f>IFERROR(__xludf.DUMMYFUNCTION("""COMPUTED_VALUE"""),"Thể Thao &amp; Dã Ngoại")</f>
        <v>Thể Thao &amp; Dã Ngoại</v>
      </c>
      <c r="J26" s="55" t="str">
        <f>IFERROR(__xludf.DUMMYFUNCTION("""COMPUTED_VALUE"""),"Dụng Cụ Thể Thao &amp; Dã Ngoại")</f>
        <v>Dụng Cụ Thể Thao &amp; Dã Ngoại</v>
      </c>
      <c r="K26" s="55" t="str">
        <f>IFERROR(__xludf.DUMMYFUNCTION("""COMPUTED_VALUE"""),"Bóng Chày &amp; Bóng Ném")</f>
        <v>Bóng Chày &amp; Bóng Ném</v>
      </c>
      <c r="L26" s="57">
        <f>IFERROR(__xludf.DUMMYFUNCTION("""COMPUTED_VALUE"""),0.125)</f>
        <v>0.125</v>
      </c>
      <c r="M26" s="55"/>
      <c r="X26" s="55" t="str">
        <f>IFERROR(__xludf.DUMMYFUNCTION("""COMPUTED_VALUE"""),"Dụng Cụ Thể Thao &amp; Dã Ngoại")</f>
        <v>Dụng Cụ Thể Thao &amp; Dã Ngoại</v>
      </c>
    </row>
    <row r="27">
      <c r="A27" s="85" t="s">
        <v>36</v>
      </c>
      <c r="B27" s="27"/>
      <c r="C27" s="86"/>
      <c r="D27" s="87">
        <f>IF(D21 *$B$9 &gt; 50000, 50000, D21* $B$9)</f>
        <v>12000</v>
      </c>
      <c r="E27" s="88"/>
      <c r="F27" s="90"/>
      <c r="H27" s="55">
        <f>IFERROR(__xludf.DUMMYFUNCTION("""COMPUTED_VALUE"""),476.0)</f>
        <v>476</v>
      </c>
      <c r="I27" s="55" t="str">
        <f>IFERROR(__xludf.DUMMYFUNCTION("""COMPUTED_VALUE"""),"Thể Thao &amp; Dã Ngoại")</f>
        <v>Thể Thao &amp; Dã Ngoại</v>
      </c>
      <c r="J27" s="55" t="str">
        <f>IFERROR(__xludf.DUMMYFUNCTION("""COMPUTED_VALUE"""),"Dụng Cụ Thể Thao &amp; Dã Ngoại")</f>
        <v>Dụng Cụ Thể Thao &amp; Dã Ngoại</v>
      </c>
      <c r="K27" s="55" t="str">
        <f>IFERROR(__xludf.DUMMYFUNCTION("""COMPUTED_VALUE"""),"Bóng Rổ")</f>
        <v>Bóng Rổ</v>
      </c>
      <c r="L27" s="57">
        <f>IFERROR(__xludf.DUMMYFUNCTION("""COMPUTED_VALUE"""),0.125)</f>
        <v>0.125</v>
      </c>
      <c r="M27" s="55"/>
      <c r="X27" s="55" t="str">
        <f>IFERROR(__xludf.DUMMYFUNCTION("""COMPUTED_VALUE"""),"Dụng Cụ Thể Thao &amp; Dã Ngoại")</f>
        <v>Dụng Cụ Thể Thao &amp; Dã Ngoại</v>
      </c>
    </row>
    <row r="28">
      <c r="A28" s="91" t="s">
        <v>37</v>
      </c>
      <c r="B28" s="27"/>
      <c r="C28" s="92" t="str">
        <f t="shared" ref="C28:D28" si="7">SUM(C24:C27)</f>
        <v>#N/A</v>
      </c>
      <c r="D28" s="93" t="str">
        <f t="shared" si="7"/>
        <v>#N/A</v>
      </c>
      <c r="E28" s="94"/>
      <c r="F28" s="95"/>
      <c r="H28" s="55">
        <f>IFERROR(__xludf.DUMMYFUNCTION("""COMPUTED_VALUE"""),477.0)</f>
        <v>477</v>
      </c>
      <c r="I28" s="55" t="str">
        <f>IFERROR(__xludf.DUMMYFUNCTION("""COMPUTED_VALUE"""),"Thể Thao &amp; Dã Ngoại")</f>
        <v>Thể Thao &amp; Dã Ngoại</v>
      </c>
      <c r="J28" s="55" t="str">
        <f>IFERROR(__xludf.DUMMYFUNCTION("""COMPUTED_VALUE"""),"Dụng Cụ Thể Thao &amp; Dã Ngoại")</f>
        <v>Dụng Cụ Thể Thao &amp; Dã Ngoại</v>
      </c>
      <c r="K28" s="55" t="str">
        <f>IFERROR(__xludf.DUMMYFUNCTION("""COMPUTED_VALUE"""),"Bida")</f>
        <v>Bida</v>
      </c>
      <c r="L28" s="57">
        <f>IFERROR(__xludf.DUMMYFUNCTION("""COMPUTED_VALUE"""),0.125)</f>
        <v>0.125</v>
      </c>
      <c r="M28" s="55"/>
      <c r="X28" s="55" t="str">
        <f>IFERROR(__xludf.DUMMYFUNCTION("""COMPUTED_VALUE"""),"Dụng Cụ Thể Thao &amp; Dã Ngoại")</f>
        <v>Dụng Cụ Thể Thao &amp; Dã Ngoại</v>
      </c>
    </row>
    <row r="29">
      <c r="A29" s="81" t="s">
        <v>38</v>
      </c>
      <c r="B29" s="27"/>
      <c r="C29" s="74">
        <f t="shared" ref="C29:D29" si="8">$B$11</f>
        <v>1620</v>
      </c>
      <c r="D29" s="82">
        <f t="shared" si="8"/>
        <v>1620</v>
      </c>
      <c r="E29" s="88"/>
      <c r="F29" s="89"/>
      <c r="H29" s="55">
        <f>IFERROR(__xludf.DUMMYFUNCTION("""COMPUTED_VALUE"""),478.0)</f>
        <v>478</v>
      </c>
      <c r="I29" s="55" t="str">
        <f>IFERROR(__xludf.DUMMYFUNCTION("""COMPUTED_VALUE"""),"Thể Thao &amp; Dã Ngoại")</f>
        <v>Thể Thao &amp; Dã Ngoại</v>
      </c>
      <c r="J29" s="55" t="str">
        <f>IFERROR(__xludf.DUMMYFUNCTION("""COMPUTED_VALUE"""),"Dụng Cụ Thể Thao &amp; Dã Ngoại")</f>
        <v>Dụng Cụ Thể Thao &amp; Dã Ngoại</v>
      </c>
      <c r="K29" s="55" t="str">
        <f>IFERROR(__xludf.DUMMYFUNCTION("""COMPUTED_VALUE"""),"Thể Thao Ván Trượt")</f>
        <v>Thể Thao Ván Trượt</v>
      </c>
      <c r="L29" s="57">
        <f>IFERROR(__xludf.DUMMYFUNCTION("""COMPUTED_VALUE"""),0.125)</f>
        <v>0.125</v>
      </c>
      <c r="M29" s="55"/>
      <c r="X29" s="55" t="str">
        <f>IFERROR(__xludf.DUMMYFUNCTION("""COMPUTED_VALUE"""),"Dụng Cụ Thể Thao &amp; Dã Ngoại")</f>
        <v>Dụng Cụ Thể Thao &amp; Dã Ngoại</v>
      </c>
    </row>
    <row r="30">
      <c r="A30" s="81" t="s">
        <v>39</v>
      </c>
      <c r="B30" s="27"/>
      <c r="C30" s="74">
        <f t="shared" ref="C30:D30" si="9">$B$12*C21</f>
        <v>30000</v>
      </c>
      <c r="D30" s="82">
        <f t="shared" si="9"/>
        <v>30000</v>
      </c>
      <c r="E30" s="88"/>
      <c r="F30" s="89"/>
      <c r="H30" s="55">
        <f>IFERROR(__xludf.DUMMYFUNCTION("""COMPUTED_VALUE"""),479.0)</f>
        <v>479</v>
      </c>
      <c r="I30" s="55" t="str">
        <f>IFERROR(__xludf.DUMMYFUNCTION("""COMPUTED_VALUE"""),"Thể Thao &amp; Dã Ngoại")</f>
        <v>Thể Thao &amp; Dã Ngoại</v>
      </c>
      <c r="J30" s="55" t="str">
        <f>IFERROR(__xludf.DUMMYFUNCTION("""COMPUTED_VALUE"""),"Dụng Cụ Thể Thao &amp; Dã Ngoại")</f>
        <v>Dụng Cụ Thể Thao &amp; Dã Ngoại</v>
      </c>
      <c r="K30" s="55" t="str">
        <f>IFERROR(__xludf.DUMMYFUNCTION("""COMPUTED_VALUE"""),"Chèo Thuyền")</f>
        <v>Chèo Thuyền</v>
      </c>
      <c r="L30" s="57">
        <f>IFERROR(__xludf.DUMMYFUNCTION("""COMPUTED_VALUE"""),0.125)</f>
        <v>0.125</v>
      </c>
      <c r="M30" s="55"/>
      <c r="X30" s="55" t="str">
        <f>IFERROR(__xludf.DUMMYFUNCTION("""COMPUTED_VALUE"""),"Dụng Cụ Thể Thao &amp; Dã Ngoại")</f>
        <v>Dụng Cụ Thể Thao &amp; Dã Ngoại</v>
      </c>
    </row>
    <row r="31">
      <c r="A31" s="81" t="s">
        <v>21</v>
      </c>
      <c r="B31" s="27"/>
      <c r="C31" s="74">
        <f t="shared" ref="C31:D31" si="10">$B$13*C21</f>
        <v>15000</v>
      </c>
      <c r="D31" s="82">
        <f t="shared" si="10"/>
        <v>15000</v>
      </c>
      <c r="E31" s="88"/>
      <c r="F31" s="89"/>
      <c r="H31" s="55">
        <f>IFERROR(__xludf.DUMMYFUNCTION("""COMPUTED_VALUE"""),480.0)</f>
        <v>480</v>
      </c>
      <c r="I31" s="55" t="str">
        <f>IFERROR(__xludf.DUMMYFUNCTION("""COMPUTED_VALUE"""),"Thể Thao &amp; Dã Ngoại")</f>
        <v>Thể Thao &amp; Dã Ngoại</v>
      </c>
      <c r="J31" s="55" t="str">
        <f>IFERROR(__xludf.DUMMYFUNCTION("""COMPUTED_VALUE"""),"Dụng Cụ Thể Thao &amp; Dã Ngoại")</f>
        <v>Dụng Cụ Thể Thao &amp; Dã Ngoại</v>
      </c>
      <c r="K31" s="55" t="str">
        <f>IFERROR(__xludf.DUMMYFUNCTION("""COMPUTED_VALUE"""),"Đấm bốc &amp; Võ Tổng Hợp")</f>
        <v>Đấm bốc &amp; Võ Tổng Hợp</v>
      </c>
      <c r="L31" s="57">
        <f>IFERROR(__xludf.DUMMYFUNCTION("""COMPUTED_VALUE"""),0.125)</f>
        <v>0.125</v>
      </c>
      <c r="M31" s="55"/>
      <c r="X31" s="55" t="str">
        <f>IFERROR(__xludf.DUMMYFUNCTION("""COMPUTED_VALUE"""),"Dụng Cụ Thể Thao &amp; Dã Ngoại")</f>
        <v>Dụng Cụ Thể Thao &amp; Dã Ngoại</v>
      </c>
    </row>
    <row r="32">
      <c r="A32" s="81" t="s">
        <v>40</v>
      </c>
      <c r="B32" s="27"/>
      <c r="C32" s="74">
        <f t="shared" ref="C32:D32" si="11">$B$14*C21</f>
        <v>4500</v>
      </c>
      <c r="D32" s="82">
        <f t="shared" si="11"/>
        <v>4500</v>
      </c>
      <c r="E32" s="88"/>
      <c r="F32" s="89"/>
      <c r="H32" s="55">
        <f>IFERROR(__xludf.DUMMYFUNCTION("""COMPUTED_VALUE"""),481.0)</f>
        <v>481</v>
      </c>
      <c r="I32" s="55" t="str">
        <f>IFERROR(__xludf.DUMMYFUNCTION("""COMPUTED_VALUE"""),"Thể Thao &amp; Dã Ngoại")</f>
        <v>Thể Thao &amp; Dã Ngoại</v>
      </c>
      <c r="J32" s="55" t="str">
        <f>IFERROR(__xludf.DUMMYFUNCTION("""COMPUTED_VALUE"""),"Dụng Cụ Thể Thao &amp; Dã Ngoại")</f>
        <v>Dụng Cụ Thể Thao &amp; Dã Ngoại</v>
      </c>
      <c r="K32" s="55" t="str">
        <f>IFERROR(__xludf.DUMMYFUNCTION("""COMPUTED_VALUE"""),"Cắm Trại &amp; Dã ngoại")</f>
        <v>Cắm Trại &amp; Dã ngoại</v>
      </c>
      <c r="L32" s="57">
        <f>IFERROR(__xludf.DUMMYFUNCTION("""COMPUTED_VALUE"""),0.125)</f>
        <v>0.125</v>
      </c>
      <c r="M32" s="55"/>
      <c r="X32" s="55" t="str">
        <f>IFERROR(__xludf.DUMMYFUNCTION("""COMPUTED_VALUE"""),"Dụng Cụ Thể Thao &amp; Dã Ngoại")</f>
        <v>Dụng Cụ Thể Thao &amp; Dã Ngoại</v>
      </c>
    </row>
    <row r="33">
      <c r="A33" s="81" t="s">
        <v>41</v>
      </c>
      <c r="B33" s="27"/>
      <c r="C33" s="74">
        <f t="shared" ref="C33:D33" si="12">$B$17</f>
        <v>1546.391753</v>
      </c>
      <c r="D33" s="82">
        <f t="shared" si="12"/>
        <v>1546.391753</v>
      </c>
      <c r="E33" s="88"/>
      <c r="F33" s="89"/>
      <c r="H33" s="55">
        <f>IFERROR(__xludf.DUMMYFUNCTION("""COMPUTED_VALUE"""),482.0)</f>
        <v>482</v>
      </c>
      <c r="I33" s="55" t="str">
        <f>IFERROR(__xludf.DUMMYFUNCTION("""COMPUTED_VALUE"""),"Thể Thao &amp; Dã Ngoại")</f>
        <v>Thể Thao &amp; Dã Ngoại</v>
      </c>
      <c r="J33" s="55" t="str">
        <f>IFERROR(__xludf.DUMMYFUNCTION("""COMPUTED_VALUE"""),"Dụng Cụ Thể Thao &amp; Dã Ngoại")</f>
        <v>Dụng Cụ Thể Thao &amp; Dã Ngoại</v>
      </c>
      <c r="K33" s="55" t="str">
        <f>IFERROR(__xludf.DUMMYFUNCTION("""COMPUTED_VALUE"""),"Đạp Xe")</f>
        <v>Đạp Xe</v>
      </c>
      <c r="L33" s="57">
        <f>IFERROR(__xludf.DUMMYFUNCTION("""COMPUTED_VALUE"""),0.125)</f>
        <v>0.125</v>
      </c>
      <c r="M33" s="55"/>
      <c r="X33" s="55" t="str">
        <f>IFERROR(__xludf.DUMMYFUNCTION("""COMPUTED_VALUE"""),"Dụng Cụ Thể Thao &amp; Dã Ngoại")</f>
        <v>Dụng Cụ Thể Thao &amp; Dã Ngoại</v>
      </c>
    </row>
    <row r="34">
      <c r="A34" s="96" t="s">
        <v>42</v>
      </c>
      <c r="B34" s="97" t="s">
        <v>43</v>
      </c>
      <c r="C34" s="98" t="str">
        <f t="shared" ref="C34:D34" si="13">sum(C28:C32)</f>
        <v>#N/A</v>
      </c>
      <c r="D34" s="99" t="str">
        <f t="shared" si="13"/>
        <v>#N/A</v>
      </c>
      <c r="E34" s="100"/>
      <c r="F34" s="101"/>
      <c r="H34" s="55">
        <f>IFERROR(__xludf.DUMMYFUNCTION("""COMPUTED_VALUE"""),483.0)</f>
        <v>483</v>
      </c>
      <c r="I34" s="55" t="str">
        <f>IFERROR(__xludf.DUMMYFUNCTION("""COMPUTED_VALUE"""),"Thể Thao &amp; Dã Ngoại")</f>
        <v>Thể Thao &amp; Dã Ngoại</v>
      </c>
      <c r="J34" s="55" t="str">
        <f>IFERROR(__xludf.DUMMYFUNCTION("""COMPUTED_VALUE"""),"Dụng Cụ Thể Thao &amp; Dã Ngoại")</f>
        <v>Dụng Cụ Thể Thao &amp; Dã Ngoại</v>
      </c>
      <c r="K34" s="55" t="str">
        <f>IFERROR(__xludf.DUMMYFUNCTION("""COMPUTED_VALUE"""),"Ném Phi Tiêu")</f>
        <v>Ném Phi Tiêu</v>
      </c>
      <c r="L34" s="57">
        <f>IFERROR(__xludf.DUMMYFUNCTION("""COMPUTED_VALUE"""),0.125)</f>
        <v>0.125</v>
      </c>
      <c r="M34" s="55"/>
      <c r="X34" s="55" t="str">
        <f>IFERROR(__xludf.DUMMYFUNCTION("""COMPUTED_VALUE"""),"Dụng Cụ Thể Thao &amp; Dã Ngoại")</f>
        <v>Dụng Cụ Thể Thao &amp; Dã Ngoại</v>
      </c>
    </row>
    <row r="35">
      <c r="A35" s="42"/>
      <c r="B35" s="102" t="s">
        <v>44</v>
      </c>
      <c r="C35" s="98" t="str">
        <f t="shared" ref="C35:D35" si="14">C21-C22-C34</f>
        <v>#N/A</v>
      </c>
      <c r="D35" s="99" t="str">
        <f t="shared" si="14"/>
        <v>#N/A</v>
      </c>
      <c r="E35" s="100"/>
      <c r="F35" s="101"/>
      <c r="H35" s="55">
        <f>IFERROR(__xludf.DUMMYFUNCTION("""COMPUTED_VALUE"""),484.0)</f>
        <v>484</v>
      </c>
      <c r="I35" s="55" t="str">
        <f>IFERROR(__xludf.DUMMYFUNCTION("""COMPUTED_VALUE"""),"Thể Thao &amp; Dã Ngoại")</f>
        <v>Thể Thao &amp; Dã Ngoại</v>
      </c>
      <c r="J35" s="55" t="str">
        <f>IFERROR(__xludf.DUMMYFUNCTION("""COMPUTED_VALUE"""),"Dụng Cụ Thể Thao &amp; Dã Ngoại")</f>
        <v>Dụng Cụ Thể Thao &amp; Dã Ngoại</v>
      </c>
      <c r="K35" s="55" t="str">
        <f>IFERROR(__xludf.DUMMYFUNCTION("""COMPUTED_VALUE"""),"Câu Cá")</f>
        <v>Câu Cá</v>
      </c>
      <c r="L35" s="57">
        <f>IFERROR(__xludf.DUMMYFUNCTION("""COMPUTED_VALUE"""),0.125)</f>
        <v>0.125</v>
      </c>
      <c r="M35" s="55"/>
      <c r="X35" s="55" t="str">
        <f>IFERROR(__xludf.DUMMYFUNCTION("""COMPUTED_VALUE"""),"Dụng Cụ Thể Thao &amp; Dã Ngoại")</f>
        <v>Dụng Cụ Thể Thao &amp; Dã Ngoại</v>
      </c>
    </row>
    <row r="36">
      <c r="A36" s="42"/>
      <c r="B36" s="97" t="s">
        <v>45</v>
      </c>
      <c r="C36" s="103" t="str">
        <f t="shared" ref="C36:D36" si="15">C35/C21</f>
        <v>#N/A</v>
      </c>
      <c r="D36" s="104" t="str">
        <f t="shared" si="15"/>
        <v>#N/A</v>
      </c>
      <c r="E36" s="105"/>
      <c r="F36" s="106"/>
      <c r="H36" s="55">
        <f>IFERROR(__xludf.DUMMYFUNCTION("""COMPUTED_VALUE"""),485.0)</f>
        <v>485</v>
      </c>
      <c r="I36" s="55" t="str">
        <f>IFERROR(__xludf.DUMMYFUNCTION("""COMPUTED_VALUE"""),"Thể Thao &amp; Dã Ngoại")</f>
        <v>Thể Thao &amp; Dã Ngoại</v>
      </c>
      <c r="J36" s="55" t="str">
        <f>IFERROR(__xludf.DUMMYFUNCTION("""COMPUTED_VALUE"""),"Dụng Cụ Thể Thao &amp; Dã Ngoại")</f>
        <v>Dụng Cụ Thể Thao &amp; Dã Ngoại</v>
      </c>
      <c r="K36" s="55" t="str">
        <f>IFERROR(__xludf.DUMMYFUNCTION("""COMPUTED_VALUE"""),"Thiết Bị Thể Thao")</f>
        <v>Thiết Bị Thể Thao</v>
      </c>
      <c r="L36" s="57">
        <f>IFERROR(__xludf.DUMMYFUNCTION("""COMPUTED_VALUE"""),0.125)</f>
        <v>0.125</v>
      </c>
      <c r="M36" s="55"/>
      <c r="X36" s="55" t="str">
        <f>IFERROR(__xludf.DUMMYFUNCTION("""COMPUTED_VALUE"""),"Dụng Cụ Thể Thao &amp; Dã Ngoại")</f>
        <v>Dụng Cụ Thể Thao &amp; Dã Ngoại</v>
      </c>
    </row>
    <row r="37">
      <c r="A37" s="46"/>
      <c r="B37" s="97" t="s">
        <v>46</v>
      </c>
      <c r="C37" s="103" t="str">
        <f t="shared" ref="C37:D37" si="16">C34/C21</f>
        <v>#N/A</v>
      </c>
      <c r="D37" s="104" t="str">
        <f t="shared" si="16"/>
        <v>#N/A</v>
      </c>
      <c r="E37" s="105"/>
      <c r="F37" s="106"/>
      <c r="H37" s="55">
        <f>IFERROR(__xludf.DUMMYFUNCTION("""COMPUTED_VALUE"""),486.0)</f>
        <v>486</v>
      </c>
      <c r="I37" s="55" t="str">
        <f>IFERROR(__xludf.DUMMYFUNCTION("""COMPUTED_VALUE"""),"Thể Thao &amp; Dã Ngoại")</f>
        <v>Thể Thao &amp; Dã Ngoại</v>
      </c>
      <c r="J37" s="55" t="str">
        <f>IFERROR(__xludf.DUMMYFUNCTION("""COMPUTED_VALUE"""),"Dụng Cụ Thể Thao &amp; Dã Ngoại")</f>
        <v>Dụng Cụ Thể Thao &amp; Dã Ngoại</v>
      </c>
      <c r="K37" s="55" t="str">
        <f>IFERROR(__xludf.DUMMYFUNCTION("""COMPUTED_VALUE"""),"Golf")</f>
        <v>Golf</v>
      </c>
      <c r="L37" s="57">
        <f>IFERROR(__xludf.DUMMYFUNCTION("""COMPUTED_VALUE"""),0.125)</f>
        <v>0.125</v>
      </c>
      <c r="M37" s="55"/>
      <c r="X37" s="55" t="str">
        <f>IFERROR(__xludf.DUMMYFUNCTION("""COMPUTED_VALUE"""),"Dụng Cụ Thể Thao &amp; Dã Ngoại")</f>
        <v>Dụng Cụ Thể Thao &amp; Dã Ngoại</v>
      </c>
    </row>
    <row r="38">
      <c r="A38" s="107" t="s">
        <v>47</v>
      </c>
      <c r="B38" s="108" t="s">
        <v>43</v>
      </c>
      <c r="C38" s="109" t="str">
        <f t="shared" ref="C38:D38" si="17">C28+sum(C30:C33)</f>
        <v>#N/A</v>
      </c>
      <c r="D38" s="110" t="str">
        <f t="shared" si="17"/>
        <v>#N/A</v>
      </c>
      <c r="E38" s="100"/>
      <c r="F38" s="101"/>
      <c r="H38" s="55">
        <f>IFERROR(__xludf.DUMMYFUNCTION("""COMPUTED_VALUE"""),487.0)</f>
        <v>487</v>
      </c>
      <c r="I38" s="55" t="str">
        <f>IFERROR(__xludf.DUMMYFUNCTION("""COMPUTED_VALUE"""),"Thể Thao &amp; Dã Ngoại")</f>
        <v>Thể Thao &amp; Dã Ngoại</v>
      </c>
      <c r="J38" s="55" t="str">
        <f>IFERROR(__xludf.DUMMYFUNCTION("""COMPUTED_VALUE"""),"Dụng Cụ Thể Thao &amp; Dã Ngoại")</f>
        <v>Dụng Cụ Thể Thao &amp; Dã Ngoại</v>
      </c>
      <c r="K38" s="55" t="str">
        <f>IFERROR(__xludf.DUMMYFUNCTION("""COMPUTED_VALUE"""),"Trượt Tuyết &amp; Thể Thao Mùa Đông")</f>
        <v>Trượt Tuyết &amp; Thể Thao Mùa Đông</v>
      </c>
      <c r="L38" s="57">
        <f>IFERROR(__xludf.DUMMYFUNCTION("""COMPUTED_VALUE"""),0.125)</f>
        <v>0.125</v>
      </c>
      <c r="M38" s="55"/>
      <c r="X38" s="55" t="str">
        <f>IFERROR(__xludf.DUMMYFUNCTION("""COMPUTED_VALUE"""),"Dụng Cụ Thể Thao &amp; Dã Ngoại")</f>
        <v>Dụng Cụ Thể Thao &amp; Dã Ngoại</v>
      </c>
    </row>
    <row r="39">
      <c r="A39" s="42"/>
      <c r="B39" s="108" t="s">
        <v>44</v>
      </c>
      <c r="C39" s="109" t="str">
        <f t="shared" ref="C39:D39" si="18">C21-C22-C38</f>
        <v>#N/A</v>
      </c>
      <c r="D39" s="110" t="str">
        <f t="shared" si="18"/>
        <v>#N/A</v>
      </c>
      <c r="E39" s="100"/>
      <c r="F39" s="101"/>
      <c r="H39" s="55">
        <f>IFERROR(__xludf.DUMMYFUNCTION("""COMPUTED_VALUE"""),488.0)</f>
        <v>488</v>
      </c>
      <c r="I39" s="55" t="str">
        <f>IFERROR(__xludf.DUMMYFUNCTION("""COMPUTED_VALUE"""),"Thể Thao &amp; Dã Ngoại")</f>
        <v>Thể Thao &amp; Dã Ngoại</v>
      </c>
      <c r="J39" s="55" t="str">
        <f>IFERROR(__xludf.DUMMYFUNCTION("""COMPUTED_VALUE"""),"Dụng Cụ Thể Thao &amp; Dã Ngoại")</f>
        <v>Dụng Cụ Thể Thao &amp; Dã Ngoại</v>
      </c>
      <c r="K39" s="55" t="str">
        <f>IFERROR(__xludf.DUMMYFUNCTION("""COMPUTED_VALUE"""),"Môn Thể Thao Khác")</f>
        <v>Môn Thể Thao Khác</v>
      </c>
      <c r="L39" s="57">
        <f>IFERROR(__xludf.DUMMYFUNCTION("""COMPUTED_VALUE"""),0.125)</f>
        <v>0.125</v>
      </c>
      <c r="M39" s="55"/>
      <c r="X39" s="55" t="str">
        <f>IFERROR(__xludf.DUMMYFUNCTION("""COMPUTED_VALUE"""),"Dụng Cụ Thể Thao &amp; Dã Ngoại")</f>
        <v>Dụng Cụ Thể Thao &amp; Dã Ngoại</v>
      </c>
    </row>
    <row r="40">
      <c r="A40" s="42"/>
      <c r="B40" s="108" t="s">
        <v>45</v>
      </c>
      <c r="C40" s="111" t="str">
        <f t="shared" ref="C40:D40" si="19">C39/C21</f>
        <v>#N/A</v>
      </c>
      <c r="D40" s="112" t="str">
        <f t="shared" si="19"/>
        <v>#N/A</v>
      </c>
      <c r="E40" s="105"/>
      <c r="F40" s="106"/>
      <c r="H40" s="55">
        <f>IFERROR(__xludf.DUMMYFUNCTION("""COMPUTED_VALUE"""),489.0)</f>
        <v>489</v>
      </c>
      <c r="I40" s="55" t="str">
        <f>IFERROR(__xludf.DUMMYFUNCTION("""COMPUTED_VALUE"""),"Thể Thao &amp; Dã Ngoại")</f>
        <v>Thể Thao &amp; Dã Ngoại</v>
      </c>
      <c r="J40" s="55" t="str">
        <f>IFERROR(__xludf.DUMMYFUNCTION("""COMPUTED_VALUE"""),"Dụng Cụ Thể Thao &amp; Dã Ngoại")</f>
        <v>Dụng Cụ Thể Thao &amp; Dã Ngoại</v>
      </c>
      <c r="K40" s="55" t="str">
        <f>IFERROR(__xludf.DUMMYFUNCTION("""COMPUTED_VALUE"""),"Leo Núi")</f>
        <v>Leo Núi</v>
      </c>
      <c r="L40" s="57">
        <f>IFERROR(__xludf.DUMMYFUNCTION("""COMPUTED_VALUE"""),0.125)</f>
        <v>0.125</v>
      </c>
      <c r="M40" s="55"/>
      <c r="X40" s="55" t="str">
        <f>IFERROR(__xludf.DUMMYFUNCTION("""COMPUTED_VALUE"""),"Dụng Cụ Thể Thao &amp; Dã Ngoại")</f>
        <v>Dụng Cụ Thể Thao &amp; Dã Ngoại</v>
      </c>
    </row>
    <row r="41">
      <c r="A41" s="46"/>
      <c r="B41" s="108" t="s">
        <v>46</v>
      </c>
      <c r="C41" s="111" t="str">
        <f t="shared" ref="C41:D41" si="20">C38/C21</f>
        <v>#N/A</v>
      </c>
      <c r="D41" s="112" t="str">
        <f t="shared" si="20"/>
        <v>#N/A</v>
      </c>
      <c r="E41" s="105"/>
      <c r="F41" s="106"/>
      <c r="H41" s="55">
        <f>IFERROR(__xludf.DUMMYFUNCTION("""COMPUTED_VALUE"""),490.0)</f>
        <v>490</v>
      </c>
      <c r="I41" s="55" t="str">
        <f>IFERROR(__xludf.DUMMYFUNCTION("""COMPUTED_VALUE"""),"Thể Thao &amp; Dã Ngoại")</f>
        <v>Thể Thao &amp; Dã Ngoại</v>
      </c>
      <c r="J41" s="55" t="str">
        <f>IFERROR(__xludf.DUMMYFUNCTION("""COMPUTED_VALUE"""),"Dụng Cụ Thể Thao &amp; Dã Ngoại")</f>
        <v>Dụng Cụ Thể Thao &amp; Dã Ngoại</v>
      </c>
      <c r="K41" s="55" t="str">
        <f>IFERROR(__xludf.DUMMYFUNCTION("""COMPUTED_VALUE"""),"Bóng Bầu Dục")</f>
        <v>Bóng Bầu Dục</v>
      </c>
      <c r="L41" s="57">
        <f>IFERROR(__xludf.DUMMYFUNCTION("""COMPUTED_VALUE"""),0.125)</f>
        <v>0.125</v>
      </c>
      <c r="M41" s="55"/>
      <c r="X41" s="55" t="str">
        <f>IFERROR(__xludf.DUMMYFUNCTION("""COMPUTED_VALUE"""),"Dụng Cụ Thể Thao &amp; Dã Ngoại")</f>
        <v>Dụng Cụ Thể Thao &amp; Dã Ngoại</v>
      </c>
    </row>
    <row r="42">
      <c r="H42" s="55">
        <f>IFERROR(__xludf.DUMMYFUNCTION("""COMPUTED_VALUE"""),491.0)</f>
        <v>491</v>
      </c>
      <c r="I42" s="55" t="str">
        <f>IFERROR(__xludf.DUMMYFUNCTION("""COMPUTED_VALUE"""),"Thể Thao &amp; Dã Ngoại")</f>
        <v>Thể Thao &amp; Dã Ngoại</v>
      </c>
      <c r="J42" s="55" t="str">
        <f>IFERROR(__xludf.DUMMYFUNCTION("""COMPUTED_VALUE"""),"Dụng Cụ Thể Thao &amp; Dã Ngoại")</f>
        <v>Dụng Cụ Thể Thao &amp; Dã Ngoại</v>
      </c>
      <c r="K42" s="55" t="str">
        <f>IFERROR(__xludf.DUMMYFUNCTION("""COMPUTED_VALUE"""),"Bắn Súng &amp; Game Sinh Tồn")</f>
        <v>Bắn Súng &amp; Game Sinh Tồn</v>
      </c>
      <c r="L42" s="57">
        <f>IFERROR(__xludf.DUMMYFUNCTION("""COMPUTED_VALUE"""),0.125)</f>
        <v>0.125</v>
      </c>
      <c r="M42" s="55"/>
      <c r="X42" s="55" t="str">
        <f>IFERROR(__xludf.DUMMYFUNCTION("""COMPUTED_VALUE"""),"Dụng Cụ Thể Thao &amp; Dã Ngoại")</f>
        <v>Dụng Cụ Thể Thao &amp; Dã Ngoại</v>
      </c>
    </row>
    <row r="43">
      <c r="H43" s="55">
        <f>IFERROR(__xludf.DUMMYFUNCTION("""COMPUTED_VALUE"""),492.0)</f>
        <v>492</v>
      </c>
      <c r="I43" s="55" t="str">
        <f>IFERROR(__xludf.DUMMYFUNCTION("""COMPUTED_VALUE"""),"Thể Thao &amp; Dã Ngoại")</f>
        <v>Thể Thao &amp; Dã Ngoại</v>
      </c>
      <c r="J43" s="55" t="str">
        <f>IFERROR(__xludf.DUMMYFUNCTION("""COMPUTED_VALUE"""),"Dụng Cụ Thể Thao &amp; Dã Ngoại")</f>
        <v>Dụng Cụ Thể Thao &amp; Dã Ngoại</v>
      </c>
      <c r="K43" s="55" t="str">
        <f>IFERROR(__xludf.DUMMYFUNCTION("""COMPUTED_VALUE"""),"Bóng Đá, Futsal &amp; Cầu Mây")</f>
        <v>Bóng Đá, Futsal &amp; Cầu Mây</v>
      </c>
      <c r="L43" s="57">
        <f>IFERROR(__xludf.DUMMYFUNCTION("""COMPUTED_VALUE"""),0.125)</f>
        <v>0.125</v>
      </c>
      <c r="M43" s="55"/>
      <c r="X43" s="55" t="str">
        <f>IFERROR(__xludf.DUMMYFUNCTION("""COMPUTED_VALUE"""),"Dụng Cụ Thể Thao &amp; Dã Ngoại")</f>
        <v>Dụng Cụ Thể Thao &amp; Dã Ngoại</v>
      </c>
    </row>
    <row r="44">
      <c r="H44" s="55">
        <f>IFERROR(__xludf.DUMMYFUNCTION("""COMPUTED_VALUE"""),493.0)</f>
        <v>493</v>
      </c>
      <c r="I44" s="55" t="str">
        <f>IFERROR(__xludf.DUMMYFUNCTION("""COMPUTED_VALUE"""),"Thể Thao &amp; Dã Ngoại")</f>
        <v>Thể Thao &amp; Dã Ngoại</v>
      </c>
      <c r="J44" s="55" t="str">
        <f>IFERROR(__xludf.DUMMYFUNCTION("""COMPUTED_VALUE"""),"Dụng Cụ Thể Thao &amp; Dã Ngoại")</f>
        <v>Dụng Cụ Thể Thao &amp; Dã Ngoại</v>
      </c>
      <c r="K44" s="55" t="str">
        <f>IFERROR(__xludf.DUMMYFUNCTION("""COMPUTED_VALUE"""),"Bóng Quần")</f>
        <v>Bóng Quần</v>
      </c>
      <c r="L44" s="57">
        <f>IFERROR(__xludf.DUMMYFUNCTION("""COMPUTED_VALUE"""),0.125)</f>
        <v>0.125</v>
      </c>
      <c r="M44" s="55"/>
      <c r="X44" s="55" t="str">
        <f>IFERROR(__xludf.DUMMYFUNCTION("""COMPUTED_VALUE"""),"Dụng Cụ Thể Thao &amp; Dã Ngoại")</f>
        <v>Dụng Cụ Thể Thao &amp; Dã Ngoại</v>
      </c>
    </row>
    <row r="45">
      <c r="H45" s="55">
        <f>IFERROR(__xludf.DUMMYFUNCTION("""COMPUTED_VALUE"""),494.0)</f>
        <v>494</v>
      </c>
      <c r="I45" s="55" t="str">
        <f>IFERROR(__xludf.DUMMYFUNCTION("""COMPUTED_VALUE"""),"Thể Thao &amp; Dã Ngoại")</f>
        <v>Thể Thao &amp; Dã Ngoại</v>
      </c>
      <c r="J45" s="55" t="str">
        <f>IFERROR(__xludf.DUMMYFUNCTION("""COMPUTED_VALUE"""),"Dụng Cụ Thể Thao &amp; Dã Ngoại")</f>
        <v>Dụng Cụ Thể Thao &amp; Dã Ngoại</v>
      </c>
      <c r="K45" s="55" t="str">
        <f>IFERROR(__xludf.DUMMYFUNCTION("""COMPUTED_VALUE"""),"Lướt Ván")</f>
        <v>Lướt Ván</v>
      </c>
      <c r="L45" s="57">
        <f>IFERROR(__xludf.DUMMYFUNCTION("""COMPUTED_VALUE"""),0.125)</f>
        <v>0.125</v>
      </c>
      <c r="M45" s="55"/>
      <c r="X45" s="55" t="str">
        <f>IFERROR(__xludf.DUMMYFUNCTION("""COMPUTED_VALUE"""),"Dụng Cụ Thể Thao &amp; Dã Ngoại")</f>
        <v>Dụng Cụ Thể Thao &amp; Dã Ngoại</v>
      </c>
    </row>
    <row r="46">
      <c r="H46" s="55">
        <f>IFERROR(__xludf.DUMMYFUNCTION("""COMPUTED_VALUE"""),495.0)</f>
        <v>495</v>
      </c>
      <c r="I46" s="55" t="str">
        <f>IFERROR(__xludf.DUMMYFUNCTION("""COMPUTED_VALUE"""),"Thể Thao &amp; Dã Ngoại")</f>
        <v>Thể Thao &amp; Dã Ngoại</v>
      </c>
      <c r="J46" s="55" t="str">
        <f>IFERROR(__xludf.DUMMYFUNCTION("""COMPUTED_VALUE"""),"Dụng Cụ Thể Thao &amp; Dã Ngoại")</f>
        <v>Dụng Cụ Thể Thao &amp; Dã Ngoại</v>
      </c>
      <c r="K46" s="55" t="str">
        <f>IFERROR(__xludf.DUMMYFUNCTION("""COMPUTED_VALUE"""),"Bơi Lội &amp; Lặn")</f>
        <v>Bơi Lội &amp; Lặn</v>
      </c>
      <c r="L46" s="57">
        <f>IFERROR(__xludf.DUMMYFUNCTION("""COMPUTED_VALUE"""),0.125)</f>
        <v>0.125</v>
      </c>
      <c r="M46" s="55"/>
      <c r="X46" s="55" t="str">
        <f>IFERROR(__xludf.DUMMYFUNCTION("""COMPUTED_VALUE"""),"Dụng Cụ Thể Thao &amp; Dã Ngoại")</f>
        <v>Dụng Cụ Thể Thao &amp; Dã Ngoại</v>
      </c>
    </row>
    <row r="47">
      <c r="H47" s="55">
        <f>IFERROR(__xludf.DUMMYFUNCTION("""COMPUTED_VALUE"""),496.0)</f>
        <v>496</v>
      </c>
      <c r="I47" s="55" t="str">
        <f>IFERROR(__xludf.DUMMYFUNCTION("""COMPUTED_VALUE"""),"Thể Thao &amp; Dã Ngoại")</f>
        <v>Thể Thao &amp; Dã Ngoại</v>
      </c>
      <c r="J47" s="55" t="str">
        <f>IFERROR(__xludf.DUMMYFUNCTION("""COMPUTED_VALUE"""),"Dụng Cụ Thể Thao &amp; Dã Ngoại")</f>
        <v>Dụng Cụ Thể Thao &amp; Dã Ngoại</v>
      </c>
      <c r="K47" s="55" t="str">
        <f>IFERROR(__xludf.DUMMYFUNCTION("""COMPUTED_VALUE"""),"Bóng Bàn")</f>
        <v>Bóng Bàn</v>
      </c>
      <c r="L47" s="57">
        <f>IFERROR(__xludf.DUMMYFUNCTION("""COMPUTED_VALUE"""),0.125)</f>
        <v>0.125</v>
      </c>
      <c r="M47" s="55"/>
      <c r="X47" s="55" t="str">
        <f>IFERROR(__xludf.DUMMYFUNCTION("""COMPUTED_VALUE"""),"Dụng Cụ Thể Thao &amp; Dã Ngoại")</f>
        <v>Dụng Cụ Thể Thao &amp; Dã Ngoại</v>
      </c>
    </row>
    <row r="48">
      <c r="H48" s="55">
        <f>IFERROR(__xludf.DUMMYFUNCTION("""COMPUTED_VALUE"""),497.0)</f>
        <v>497</v>
      </c>
      <c r="I48" s="55" t="str">
        <f>IFERROR(__xludf.DUMMYFUNCTION("""COMPUTED_VALUE"""),"Thể Thao &amp; Dã Ngoại")</f>
        <v>Thể Thao &amp; Dã Ngoại</v>
      </c>
      <c r="J48" s="55" t="str">
        <f>IFERROR(__xludf.DUMMYFUNCTION("""COMPUTED_VALUE"""),"Dụng Cụ Thể Thao &amp; Dã Ngoại")</f>
        <v>Dụng Cụ Thể Thao &amp; Dã Ngoại</v>
      </c>
      <c r="K48" s="55" t="str">
        <f>IFERROR(__xludf.DUMMYFUNCTION("""COMPUTED_VALUE"""),"Tennis")</f>
        <v>Tennis</v>
      </c>
      <c r="L48" s="57">
        <f>IFERROR(__xludf.DUMMYFUNCTION("""COMPUTED_VALUE"""),0.125)</f>
        <v>0.125</v>
      </c>
      <c r="M48" s="55"/>
      <c r="X48" s="55" t="str">
        <f>IFERROR(__xludf.DUMMYFUNCTION("""COMPUTED_VALUE"""),"Dụng Cụ Thể Thao &amp; Dã Ngoại")</f>
        <v>Dụng Cụ Thể Thao &amp; Dã Ngoại</v>
      </c>
    </row>
    <row r="49">
      <c r="H49" s="55">
        <f>IFERROR(__xludf.DUMMYFUNCTION("""COMPUTED_VALUE"""),498.0)</f>
        <v>498</v>
      </c>
      <c r="I49" s="55" t="str">
        <f>IFERROR(__xludf.DUMMYFUNCTION("""COMPUTED_VALUE"""),"Thể Thao &amp; Dã Ngoại")</f>
        <v>Thể Thao &amp; Dã Ngoại</v>
      </c>
      <c r="J49" s="55" t="str">
        <f>IFERROR(__xludf.DUMMYFUNCTION("""COMPUTED_VALUE"""),"Dụng Cụ Thể Thao &amp; Dã Ngoại")</f>
        <v>Dụng Cụ Thể Thao &amp; Dã Ngoại</v>
      </c>
      <c r="K49" s="55" t="str">
        <f>IFERROR(__xludf.DUMMYFUNCTION("""COMPUTED_VALUE"""),"Bóng Chuyền")</f>
        <v>Bóng Chuyền</v>
      </c>
      <c r="L49" s="57">
        <f>IFERROR(__xludf.DUMMYFUNCTION("""COMPUTED_VALUE"""),0.125)</f>
        <v>0.125</v>
      </c>
      <c r="M49" s="55"/>
      <c r="X49" s="55" t="str">
        <f>IFERROR(__xludf.DUMMYFUNCTION("""COMPUTED_VALUE"""),"Dụng Cụ Thể Thao &amp; Dã Ngoại")</f>
        <v>Dụng Cụ Thể Thao &amp; Dã Ngoại</v>
      </c>
    </row>
    <row r="50">
      <c r="H50" s="55">
        <f>IFERROR(__xludf.DUMMYFUNCTION("""COMPUTED_VALUE"""),499.0)</f>
        <v>499</v>
      </c>
      <c r="I50" s="55" t="str">
        <f>IFERROR(__xludf.DUMMYFUNCTION("""COMPUTED_VALUE"""),"Thể Thao &amp; Dã Ngoại")</f>
        <v>Thể Thao &amp; Dã Ngoại</v>
      </c>
      <c r="J50" s="55" t="str">
        <f>IFERROR(__xludf.DUMMYFUNCTION("""COMPUTED_VALUE"""),"Dụng Cụ Thể Thao &amp; Dã Ngoại")</f>
        <v>Dụng Cụ Thể Thao &amp; Dã Ngoại</v>
      </c>
      <c r="K50" s="55" t="str">
        <f>IFERROR(__xludf.DUMMYFUNCTION("""COMPUTED_VALUE"""),"Yoga &amp; Pilates")</f>
        <v>Yoga &amp; Pilates</v>
      </c>
      <c r="L50" s="57">
        <f>IFERROR(__xludf.DUMMYFUNCTION("""COMPUTED_VALUE"""),0.125)</f>
        <v>0.125</v>
      </c>
      <c r="M50" s="55"/>
      <c r="X50" s="55" t="str">
        <f>IFERROR(__xludf.DUMMYFUNCTION("""COMPUTED_VALUE"""),"Giày Thể Thao")</f>
        <v>Giày Thể Thao</v>
      </c>
    </row>
    <row r="51">
      <c r="H51" s="55">
        <f>IFERROR(__xludf.DUMMYFUNCTION("""COMPUTED_VALUE"""),500.0)</f>
        <v>500</v>
      </c>
      <c r="I51" s="55" t="str">
        <f>IFERROR(__xludf.DUMMYFUNCTION("""COMPUTED_VALUE"""),"Thể Thao &amp; Dã Ngoại")</f>
        <v>Thể Thao &amp; Dã Ngoại</v>
      </c>
      <c r="J51" s="55" t="str">
        <f>IFERROR(__xludf.DUMMYFUNCTION("""COMPUTED_VALUE"""),"Giày Thể Thao")</f>
        <v>Giày Thể Thao</v>
      </c>
      <c r="K51" s="55" t="str">
        <f>IFERROR(__xludf.DUMMYFUNCTION("""COMPUTED_VALUE"""),"Giày Cầu Lông")</f>
        <v>Giày Cầu Lông</v>
      </c>
      <c r="L51" s="57">
        <f>IFERROR(__xludf.DUMMYFUNCTION("""COMPUTED_VALUE"""),0.125)</f>
        <v>0.125</v>
      </c>
      <c r="M51" s="55"/>
      <c r="X51" s="55" t="str">
        <f>IFERROR(__xludf.DUMMYFUNCTION("""COMPUTED_VALUE"""),"Giày Thể Thao")</f>
        <v>Giày Thể Thao</v>
      </c>
    </row>
    <row r="52">
      <c r="H52" s="55">
        <f>IFERROR(__xludf.DUMMYFUNCTION("""COMPUTED_VALUE"""),501.0)</f>
        <v>501</v>
      </c>
      <c r="I52" s="55" t="str">
        <f>IFERROR(__xludf.DUMMYFUNCTION("""COMPUTED_VALUE"""),"Thể Thao &amp; Dã Ngoại")</f>
        <v>Thể Thao &amp; Dã Ngoại</v>
      </c>
      <c r="J52" s="55" t="str">
        <f>IFERROR(__xludf.DUMMYFUNCTION("""COMPUTED_VALUE"""),"Giày Thể Thao")</f>
        <v>Giày Thể Thao</v>
      </c>
      <c r="K52" s="55" t="str">
        <f>IFERROR(__xludf.DUMMYFUNCTION("""COMPUTED_VALUE"""),"Giày Bóng Rổ")</f>
        <v>Giày Bóng Rổ</v>
      </c>
      <c r="L52" s="57">
        <f>IFERROR(__xludf.DUMMYFUNCTION("""COMPUTED_VALUE"""),0.125)</f>
        <v>0.125</v>
      </c>
      <c r="M52" s="55"/>
      <c r="X52" s="55" t="str">
        <f>IFERROR(__xludf.DUMMYFUNCTION("""COMPUTED_VALUE"""),"Giày Thể Thao")</f>
        <v>Giày Thể Thao</v>
      </c>
    </row>
    <row r="53">
      <c r="H53" s="55">
        <f>IFERROR(__xludf.DUMMYFUNCTION("""COMPUTED_VALUE"""),502.0)</f>
        <v>502</v>
      </c>
      <c r="I53" s="55" t="str">
        <f>IFERROR(__xludf.DUMMYFUNCTION("""COMPUTED_VALUE"""),"Thể Thao &amp; Dã Ngoại")</f>
        <v>Thể Thao &amp; Dã Ngoại</v>
      </c>
      <c r="J53" s="55" t="str">
        <f>IFERROR(__xludf.DUMMYFUNCTION("""COMPUTED_VALUE"""),"Giày Thể Thao")</f>
        <v>Giày Thể Thao</v>
      </c>
      <c r="K53" s="55" t="str">
        <f>IFERROR(__xludf.DUMMYFUNCTION("""COMPUTED_VALUE"""),"Giày Futsal")</f>
        <v>Giày Futsal</v>
      </c>
      <c r="L53" s="57">
        <f>IFERROR(__xludf.DUMMYFUNCTION("""COMPUTED_VALUE"""),0.125)</f>
        <v>0.125</v>
      </c>
      <c r="M53" s="55"/>
      <c r="X53" s="55" t="str">
        <f>IFERROR(__xludf.DUMMYFUNCTION("""COMPUTED_VALUE"""),"Giày Thể Thao")</f>
        <v>Giày Thể Thao</v>
      </c>
    </row>
    <row r="54">
      <c r="H54" s="55">
        <f>IFERROR(__xludf.DUMMYFUNCTION("""COMPUTED_VALUE"""),503.0)</f>
        <v>503</v>
      </c>
      <c r="I54" s="55" t="str">
        <f>IFERROR(__xludf.DUMMYFUNCTION("""COMPUTED_VALUE"""),"Thể Thao &amp; Dã Ngoại")</f>
        <v>Thể Thao &amp; Dã Ngoại</v>
      </c>
      <c r="J54" s="55" t="str">
        <f>IFERROR(__xludf.DUMMYFUNCTION("""COMPUTED_VALUE"""),"Giày Thể Thao")</f>
        <v>Giày Thể Thao</v>
      </c>
      <c r="K54" s="55" t="str">
        <f>IFERROR(__xludf.DUMMYFUNCTION("""COMPUTED_VALUE"""),"Giày Dã Ngoại")</f>
        <v>Giày Dã Ngoại</v>
      </c>
      <c r="L54" s="57">
        <f>IFERROR(__xludf.DUMMYFUNCTION("""COMPUTED_VALUE"""),0.125)</f>
        <v>0.125</v>
      </c>
      <c r="M54" s="55"/>
      <c r="X54" s="55" t="str">
        <f>IFERROR(__xludf.DUMMYFUNCTION("""COMPUTED_VALUE"""),"Giày Thể Thao")</f>
        <v>Giày Thể Thao</v>
      </c>
    </row>
    <row r="55">
      <c r="H55" s="55">
        <f>IFERROR(__xludf.DUMMYFUNCTION("""COMPUTED_VALUE"""),504.0)</f>
        <v>504</v>
      </c>
      <c r="I55" s="55" t="str">
        <f>IFERROR(__xludf.DUMMYFUNCTION("""COMPUTED_VALUE"""),"Thể Thao &amp; Dã Ngoại")</f>
        <v>Thể Thao &amp; Dã Ngoại</v>
      </c>
      <c r="J55" s="55" t="str">
        <f>IFERROR(__xludf.DUMMYFUNCTION("""COMPUTED_VALUE"""),"Giày Thể Thao")</f>
        <v>Giày Thể Thao</v>
      </c>
      <c r="K55" s="55" t="str">
        <f>IFERROR(__xludf.DUMMYFUNCTION("""COMPUTED_VALUE"""),"Giày Thể Thao Trẻ Em")</f>
        <v>Giày Thể Thao Trẻ Em</v>
      </c>
      <c r="L55" s="57">
        <f>IFERROR(__xludf.DUMMYFUNCTION("""COMPUTED_VALUE"""),0.125)</f>
        <v>0.125</v>
      </c>
      <c r="M55" s="55"/>
      <c r="X55" s="55" t="str">
        <f>IFERROR(__xludf.DUMMYFUNCTION("""COMPUTED_VALUE"""),"Giày Thể Thao")</f>
        <v>Giày Thể Thao</v>
      </c>
    </row>
    <row r="56">
      <c r="H56" s="55">
        <f>IFERROR(__xludf.DUMMYFUNCTION("""COMPUTED_VALUE"""),505.0)</f>
        <v>505</v>
      </c>
      <c r="I56" s="55" t="str">
        <f>IFERROR(__xludf.DUMMYFUNCTION("""COMPUTED_VALUE"""),"Thể Thao &amp; Dã Ngoại")</f>
        <v>Thể Thao &amp; Dã Ngoại</v>
      </c>
      <c r="J56" s="55" t="str">
        <f>IFERROR(__xludf.DUMMYFUNCTION("""COMPUTED_VALUE"""),"Giày Thể Thao")</f>
        <v>Giày Thể Thao</v>
      </c>
      <c r="K56" s="55" t="str">
        <f>IFERROR(__xludf.DUMMYFUNCTION("""COMPUTED_VALUE"""),"Giày Thể Thao Khác")</f>
        <v>Giày Thể Thao Khác</v>
      </c>
      <c r="L56" s="57">
        <f>IFERROR(__xludf.DUMMYFUNCTION("""COMPUTED_VALUE"""),0.125)</f>
        <v>0.125</v>
      </c>
      <c r="M56" s="55"/>
      <c r="X56" s="55" t="str">
        <f>IFERROR(__xludf.DUMMYFUNCTION("""COMPUTED_VALUE"""),"Giày Thể Thao")</f>
        <v>Giày Thể Thao</v>
      </c>
    </row>
    <row r="57">
      <c r="H57" s="55">
        <f>IFERROR(__xludf.DUMMYFUNCTION("""COMPUTED_VALUE"""),506.0)</f>
        <v>506</v>
      </c>
      <c r="I57" s="55" t="str">
        <f>IFERROR(__xludf.DUMMYFUNCTION("""COMPUTED_VALUE"""),"Thể Thao &amp; Dã Ngoại")</f>
        <v>Thể Thao &amp; Dã Ngoại</v>
      </c>
      <c r="J57" s="55" t="str">
        <f>IFERROR(__xludf.DUMMYFUNCTION("""COMPUTED_VALUE"""),"Giày Thể Thao")</f>
        <v>Giày Thể Thao</v>
      </c>
      <c r="K57" s="55" t="str">
        <f>IFERROR(__xludf.DUMMYFUNCTION("""COMPUTED_VALUE"""),"Giày Chạy Bộ")</f>
        <v>Giày Chạy Bộ</v>
      </c>
      <c r="L57" s="57">
        <f>IFERROR(__xludf.DUMMYFUNCTION("""COMPUTED_VALUE"""),0.125)</f>
        <v>0.125</v>
      </c>
      <c r="M57" s="55"/>
      <c r="X57" s="55" t="str">
        <f>IFERROR(__xludf.DUMMYFUNCTION("""COMPUTED_VALUE"""),"Giày Thể Thao")</f>
        <v>Giày Thể Thao</v>
      </c>
    </row>
    <row r="58">
      <c r="H58" s="55">
        <f>IFERROR(__xludf.DUMMYFUNCTION("""COMPUTED_VALUE"""),507.0)</f>
        <v>507</v>
      </c>
      <c r="I58" s="55" t="str">
        <f>IFERROR(__xludf.DUMMYFUNCTION("""COMPUTED_VALUE"""),"Thể Thao &amp; Dã Ngoại")</f>
        <v>Thể Thao &amp; Dã Ngoại</v>
      </c>
      <c r="J58" s="55" t="str">
        <f>IFERROR(__xludf.DUMMYFUNCTION("""COMPUTED_VALUE"""),"Giày Thể Thao")</f>
        <v>Giày Thể Thao</v>
      </c>
      <c r="K58" s="55" t="str">
        <f>IFERROR(__xludf.DUMMYFUNCTION("""COMPUTED_VALUE"""),"Giày Bóng Đá")</f>
        <v>Giày Bóng Đá</v>
      </c>
      <c r="L58" s="57">
        <f>IFERROR(__xludf.DUMMYFUNCTION("""COMPUTED_VALUE"""),0.125)</f>
        <v>0.125</v>
      </c>
      <c r="M58" s="55"/>
      <c r="X58" s="55" t="str">
        <f>IFERROR(__xludf.DUMMYFUNCTION("""COMPUTED_VALUE"""),"Giày Thể Thao")</f>
        <v>Giày Thể Thao</v>
      </c>
    </row>
    <row r="59">
      <c r="H59" s="55">
        <f>IFERROR(__xludf.DUMMYFUNCTION("""COMPUTED_VALUE"""),508.0)</f>
        <v>508</v>
      </c>
      <c r="I59" s="55" t="str">
        <f>IFERROR(__xludf.DUMMYFUNCTION("""COMPUTED_VALUE"""),"Thể Thao &amp; Dã Ngoại")</f>
        <v>Thể Thao &amp; Dã Ngoại</v>
      </c>
      <c r="J59" s="55" t="str">
        <f>IFERROR(__xludf.DUMMYFUNCTION("""COMPUTED_VALUE"""),"Giày Thể Thao")</f>
        <v>Giày Thể Thao</v>
      </c>
      <c r="K59" s="55" t="str">
        <f>IFERROR(__xludf.DUMMYFUNCTION("""COMPUTED_VALUE"""),"Giày Tennis")</f>
        <v>Giày Tennis</v>
      </c>
      <c r="L59" s="57">
        <f>IFERROR(__xludf.DUMMYFUNCTION("""COMPUTED_VALUE"""),0.125)</f>
        <v>0.125</v>
      </c>
      <c r="M59" s="55"/>
      <c r="X59" s="55" t="str">
        <f>IFERROR(__xludf.DUMMYFUNCTION("""COMPUTED_VALUE"""),"Giày Thể Thao")</f>
        <v>Giày Thể Thao</v>
      </c>
    </row>
    <row r="60">
      <c r="H60" s="55">
        <f>IFERROR(__xludf.DUMMYFUNCTION("""COMPUTED_VALUE"""),509.0)</f>
        <v>509</v>
      </c>
      <c r="I60" s="55" t="str">
        <f>IFERROR(__xludf.DUMMYFUNCTION("""COMPUTED_VALUE"""),"Thể Thao &amp; Dã Ngoại")</f>
        <v>Thể Thao &amp; Dã Ngoại</v>
      </c>
      <c r="J60" s="55" t="str">
        <f>IFERROR(__xludf.DUMMYFUNCTION("""COMPUTED_VALUE"""),"Giày Thể Thao")</f>
        <v>Giày Thể Thao</v>
      </c>
      <c r="K60" s="55" t="str">
        <f>IFERROR(__xludf.DUMMYFUNCTION("""COMPUTED_VALUE"""),"Giày Tập Luyện")</f>
        <v>Giày Tập Luyện</v>
      </c>
      <c r="L60" s="57">
        <f>IFERROR(__xludf.DUMMYFUNCTION("""COMPUTED_VALUE"""),0.125)</f>
        <v>0.125</v>
      </c>
      <c r="M60" s="55"/>
      <c r="X60" s="55" t="str">
        <f>IFERROR(__xludf.DUMMYFUNCTION("""COMPUTED_VALUE"""),"Giày Thể Thao")</f>
        <v>Giày Thể Thao</v>
      </c>
    </row>
    <row r="61">
      <c r="H61" s="55">
        <f>IFERROR(__xludf.DUMMYFUNCTION("""COMPUTED_VALUE"""),510.0)</f>
        <v>510</v>
      </c>
      <c r="I61" s="55" t="str">
        <f>IFERROR(__xludf.DUMMYFUNCTION("""COMPUTED_VALUE"""),"Thể Thao &amp; Dã Ngoại")</f>
        <v>Thể Thao &amp; Dã Ngoại</v>
      </c>
      <c r="J61" s="55" t="str">
        <f>IFERROR(__xludf.DUMMYFUNCTION("""COMPUTED_VALUE"""),"Giày Thể Thao")</f>
        <v>Giày Thể Thao</v>
      </c>
      <c r="K61" s="55" t="str">
        <f>IFERROR(__xludf.DUMMYFUNCTION("""COMPUTED_VALUE"""),"Giày Bóng Chuyền")</f>
        <v>Giày Bóng Chuyền</v>
      </c>
      <c r="L61" s="57">
        <f>IFERROR(__xludf.DUMMYFUNCTION("""COMPUTED_VALUE"""),0.125)</f>
        <v>0.125</v>
      </c>
      <c r="M61" s="55"/>
    </row>
  </sheetData>
  <mergeCells count="22">
    <mergeCell ref="D2:F6"/>
    <mergeCell ref="C3:C4"/>
    <mergeCell ref="C9:D9"/>
    <mergeCell ref="C10:E10"/>
    <mergeCell ref="C15:D16"/>
    <mergeCell ref="C17:D17"/>
    <mergeCell ref="A20:B20"/>
    <mergeCell ref="A28:B28"/>
    <mergeCell ref="A29:B29"/>
    <mergeCell ref="A30:B30"/>
    <mergeCell ref="A31:B31"/>
    <mergeCell ref="A32:B32"/>
    <mergeCell ref="A33:B33"/>
    <mergeCell ref="A34:A37"/>
    <mergeCell ref="A38:A41"/>
    <mergeCell ref="A21:B21"/>
    <mergeCell ref="A22:B22"/>
    <mergeCell ref="A23:B23"/>
    <mergeCell ref="A24:B24"/>
    <mergeCell ref="A25:B25"/>
    <mergeCell ref="A26:B26"/>
    <mergeCell ref="A27:B27"/>
  </mergeCells>
  <dataValidations>
    <dataValidation type="list" allowBlank="1" showErrorMessage="1" sqref="B4">
      <formula1>'BẢNG TÍNH GIÁ SHOP THƯỜNG'!$J$2:$J$1005</formula1>
    </dataValidation>
    <dataValidation type="list" allowBlank="1" showInputMessage="1" showErrorMessage="1" prompt="Nhấp và nhập một giá trị trong dải ô" sqref="B3">
      <formula1>DuLieuGoc2!$B$2:$B$1315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3" width="14.75"/>
    <col customWidth="1" min="4" max="4" width="21.25"/>
    <col customWidth="1" min="6" max="6" width="31.88"/>
  </cols>
  <sheetData>
    <row r="1">
      <c r="A1" s="113" t="s">
        <v>1</v>
      </c>
      <c r="B1" s="113" t="s">
        <v>2</v>
      </c>
      <c r="C1" s="114" t="s">
        <v>3</v>
      </c>
      <c r="D1" s="115" t="s">
        <v>4</v>
      </c>
      <c r="E1" s="116"/>
      <c r="F1" s="117" t="s">
        <v>54</v>
      </c>
      <c r="G1" s="118"/>
    </row>
    <row r="2">
      <c r="A2" s="119">
        <v>1.0</v>
      </c>
      <c r="B2" s="119" t="s">
        <v>55</v>
      </c>
      <c r="C2" s="120" t="s">
        <v>56</v>
      </c>
      <c r="D2" s="121"/>
      <c r="E2" s="116"/>
      <c r="F2" s="122">
        <v>0.105</v>
      </c>
      <c r="G2" s="118"/>
    </row>
    <row r="3">
      <c r="A3" s="119">
        <v>2.0</v>
      </c>
      <c r="B3" s="119" t="s">
        <v>55</v>
      </c>
      <c r="C3" s="120" t="s">
        <v>57</v>
      </c>
      <c r="D3" s="121"/>
      <c r="E3" s="116"/>
      <c r="F3" s="122">
        <v>0.126</v>
      </c>
      <c r="G3" s="118"/>
    </row>
    <row r="4">
      <c r="A4" s="119">
        <v>3.0</v>
      </c>
      <c r="B4" s="119" t="s">
        <v>55</v>
      </c>
      <c r="C4" s="120" t="s">
        <v>58</v>
      </c>
      <c r="D4" s="121"/>
      <c r="E4" s="116"/>
      <c r="F4" s="122">
        <v>0.126</v>
      </c>
      <c r="G4" s="118"/>
    </row>
    <row r="5">
      <c r="A5" s="123">
        <v>4.0</v>
      </c>
      <c r="B5" s="124" t="s">
        <v>55</v>
      </c>
      <c r="C5" s="125" t="s">
        <v>59</v>
      </c>
      <c r="D5" s="125" t="s">
        <v>60</v>
      </c>
      <c r="E5" s="116"/>
      <c r="F5" s="126">
        <v>0.126</v>
      </c>
      <c r="G5" s="118"/>
    </row>
    <row r="6">
      <c r="A6" s="127">
        <v>5.0</v>
      </c>
      <c r="B6" s="128" t="s">
        <v>55</v>
      </c>
      <c r="C6" s="129" t="s">
        <v>59</v>
      </c>
      <c r="D6" s="129" t="s">
        <v>61</v>
      </c>
      <c r="E6" s="116"/>
      <c r="F6" s="130">
        <v>0.105</v>
      </c>
      <c r="G6" s="118"/>
    </row>
    <row r="7">
      <c r="A7" s="127">
        <v>6.0</v>
      </c>
      <c r="B7" s="128" t="s">
        <v>55</v>
      </c>
      <c r="C7" s="129" t="s">
        <v>59</v>
      </c>
      <c r="D7" s="129" t="s">
        <v>62</v>
      </c>
      <c r="E7" s="116"/>
      <c r="F7" s="130">
        <v>0.126</v>
      </c>
      <c r="G7" s="118"/>
    </row>
    <row r="8">
      <c r="A8" s="127">
        <v>7.0</v>
      </c>
      <c r="B8" s="128" t="s">
        <v>55</v>
      </c>
      <c r="C8" s="129" t="s">
        <v>59</v>
      </c>
      <c r="D8" s="129" t="s">
        <v>63</v>
      </c>
      <c r="E8" s="116"/>
      <c r="F8" s="130">
        <v>0.126</v>
      </c>
      <c r="G8" s="118"/>
    </row>
    <row r="9">
      <c r="A9" s="127">
        <v>8.0</v>
      </c>
      <c r="B9" s="128" t="s">
        <v>55</v>
      </c>
      <c r="C9" s="129" t="s">
        <v>64</v>
      </c>
      <c r="D9" s="129" t="s">
        <v>65</v>
      </c>
      <c r="E9" s="116"/>
      <c r="F9" s="130">
        <v>0.126</v>
      </c>
      <c r="G9" s="118"/>
    </row>
    <row r="10">
      <c r="A10" s="127">
        <v>9.0</v>
      </c>
      <c r="B10" s="128" t="s">
        <v>55</v>
      </c>
      <c r="C10" s="129" t="s">
        <v>64</v>
      </c>
      <c r="D10" s="129" t="s">
        <v>66</v>
      </c>
      <c r="E10" s="116"/>
      <c r="F10" s="130">
        <v>0.126</v>
      </c>
      <c r="G10" s="118"/>
    </row>
    <row r="11">
      <c r="A11" s="127">
        <v>10.0</v>
      </c>
      <c r="B11" s="128" t="s">
        <v>55</v>
      </c>
      <c r="C11" s="129" t="s">
        <v>64</v>
      </c>
      <c r="D11" s="129" t="s">
        <v>62</v>
      </c>
      <c r="E11" s="116"/>
      <c r="F11" s="130">
        <v>0.126</v>
      </c>
      <c r="G11" s="118"/>
    </row>
    <row r="12">
      <c r="A12" s="127">
        <v>11.0</v>
      </c>
      <c r="B12" s="128" t="s">
        <v>55</v>
      </c>
      <c r="C12" s="129" t="s">
        <v>64</v>
      </c>
      <c r="D12" s="129" t="s">
        <v>67</v>
      </c>
      <c r="E12" s="116"/>
      <c r="F12" s="130">
        <v>0.126</v>
      </c>
      <c r="G12" s="118"/>
    </row>
    <row r="13">
      <c r="A13" s="127">
        <v>12.0</v>
      </c>
      <c r="B13" s="128" t="s">
        <v>55</v>
      </c>
      <c r="C13" s="129" t="s">
        <v>64</v>
      </c>
      <c r="D13" s="129" t="s">
        <v>68</v>
      </c>
      <c r="E13" s="116"/>
      <c r="F13" s="130">
        <v>0.105</v>
      </c>
      <c r="G13" s="118"/>
    </row>
    <row r="14">
      <c r="A14" s="127">
        <v>13.0</v>
      </c>
      <c r="B14" s="128" t="s">
        <v>55</v>
      </c>
      <c r="C14" s="129" t="s">
        <v>69</v>
      </c>
      <c r="D14" s="131"/>
      <c r="E14" s="116"/>
      <c r="F14" s="130">
        <v>0.126</v>
      </c>
      <c r="G14" s="118"/>
    </row>
    <row r="15">
      <c r="A15" s="127">
        <v>14.0</v>
      </c>
      <c r="B15" s="128" t="s">
        <v>55</v>
      </c>
      <c r="C15" s="129" t="s">
        <v>62</v>
      </c>
      <c r="D15" s="131"/>
      <c r="E15" s="116"/>
      <c r="F15" s="130">
        <v>0.126</v>
      </c>
      <c r="G15" s="118"/>
    </row>
    <row r="16">
      <c r="A16" s="127">
        <v>15.0</v>
      </c>
      <c r="B16" s="128" t="s">
        <v>70</v>
      </c>
      <c r="C16" s="129" t="s">
        <v>71</v>
      </c>
      <c r="D16" s="129" t="s">
        <v>72</v>
      </c>
      <c r="E16" s="116"/>
      <c r="F16" s="130">
        <v>0.126</v>
      </c>
      <c r="G16" s="118"/>
    </row>
    <row r="17">
      <c r="A17" s="127">
        <v>16.0</v>
      </c>
      <c r="B17" s="128" t="s">
        <v>70</v>
      </c>
      <c r="C17" s="129" t="s">
        <v>71</v>
      </c>
      <c r="D17" s="129" t="s">
        <v>73</v>
      </c>
      <c r="E17" s="116"/>
      <c r="F17" s="130">
        <v>0.126</v>
      </c>
      <c r="G17" s="118"/>
    </row>
    <row r="18">
      <c r="A18" s="127">
        <v>17.0</v>
      </c>
      <c r="B18" s="128" t="s">
        <v>70</v>
      </c>
      <c r="C18" s="129" t="s">
        <v>71</v>
      </c>
      <c r="D18" s="129" t="s">
        <v>74</v>
      </c>
      <c r="E18" s="116"/>
      <c r="F18" s="130">
        <v>0.126</v>
      </c>
      <c r="G18" s="118"/>
    </row>
    <row r="19">
      <c r="A19" s="127">
        <v>18.0</v>
      </c>
      <c r="B19" s="128" t="s">
        <v>70</v>
      </c>
      <c r="C19" s="129" t="s">
        <v>71</v>
      </c>
      <c r="D19" s="129" t="s">
        <v>75</v>
      </c>
      <c r="E19" s="116"/>
      <c r="F19" s="130">
        <v>0.126</v>
      </c>
      <c r="G19" s="118"/>
    </row>
    <row r="20">
      <c r="A20" s="127">
        <v>19.0</v>
      </c>
      <c r="B20" s="128" t="s">
        <v>70</v>
      </c>
      <c r="C20" s="129" t="s">
        <v>71</v>
      </c>
      <c r="D20" s="129" t="s">
        <v>76</v>
      </c>
      <c r="E20" s="116"/>
      <c r="F20" s="130">
        <v>0.126</v>
      </c>
      <c r="G20" s="118"/>
    </row>
    <row r="21">
      <c r="A21" s="127">
        <v>20.0</v>
      </c>
      <c r="B21" s="128" t="s">
        <v>70</v>
      </c>
      <c r="C21" s="129" t="s">
        <v>71</v>
      </c>
      <c r="D21" s="129" t="s">
        <v>77</v>
      </c>
      <c r="E21" s="116"/>
      <c r="F21" s="130">
        <v>0.126</v>
      </c>
      <c r="G21" s="118"/>
    </row>
    <row r="22">
      <c r="A22" s="127">
        <v>21.0</v>
      </c>
      <c r="B22" s="128" t="s">
        <v>70</v>
      </c>
      <c r="C22" s="129" t="s">
        <v>71</v>
      </c>
      <c r="D22" s="129" t="s">
        <v>78</v>
      </c>
      <c r="E22" s="116"/>
      <c r="F22" s="130">
        <v>0.126</v>
      </c>
      <c r="G22" s="118"/>
    </row>
    <row r="23">
      <c r="A23" s="127">
        <v>22.0</v>
      </c>
      <c r="B23" s="128" t="s">
        <v>70</v>
      </c>
      <c r="C23" s="129" t="s">
        <v>71</v>
      </c>
      <c r="D23" s="129" t="s">
        <v>62</v>
      </c>
      <c r="E23" s="116"/>
      <c r="F23" s="130">
        <v>0.126</v>
      </c>
      <c r="G23" s="118"/>
    </row>
    <row r="24">
      <c r="A24" s="127">
        <v>23.0</v>
      </c>
      <c r="B24" s="128" t="s">
        <v>70</v>
      </c>
      <c r="C24" s="129" t="s">
        <v>71</v>
      </c>
      <c r="D24" s="129" t="s">
        <v>79</v>
      </c>
      <c r="E24" s="116"/>
      <c r="F24" s="130">
        <v>0.126</v>
      </c>
      <c r="G24" s="118"/>
    </row>
    <row r="25">
      <c r="A25" s="127">
        <v>24.0</v>
      </c>
      <c r="B25" s="128" t="s">
        <v>70</v>
      </c>
      <c r="C25" s="129" t="s">
        <v>71</v>
      </c>
      <c r="D25" s="129" t="s">
        <v>80</v>
      </c>
      <c r="E25" s="116"/>
      <c r="F25" s="130">
        <v>0.126</v>
      </c>
      <c r="G25" s="118"/>
    </row>
    <row r="26">
      <c r="A26" s="127">
        <v>25.0</v>
      </c>
      <c r="B26" s="128" t="s">
        <v>70</v>
      </c>
      <c r="C26" s="129" t="s">
        <v>71</v>
      </c>
      <c r="D26" s="129" t="s">
        <v>81</v>
      </c>
      <c r="E26" s="116"/>
      <c r="F26" s="130">
        <v>0.126</v>
      </c>
      <c r="G26" s="118"/>
    </row>
    <row r="27">
      <c r="A27" s="127">
        <v>26.0</v>
      </c>
      <c r="B27" s="128" t="s">
        <v>70</v>
      </c>
      <c r="C27" s="129" t="s">
        <v>82</v>
      </c>
      <c r="D27" s="129" t="s">
        <v>83</v>
      </c>
      <c r="E27" s="116"/>
      <c r="F27" s="130">
        <v>0.126</v>
      </c>
      <c r="G27" s="118"/>
    </row>
    <row r="28">
      <c r="A28" s="127">
        <v>27.0</v>
      </c>
      <c r="B28" s="128" t="s">
        <v>70</v>
      </c>
      <c r="C28" s="129" t="s">
        <v>82</v>
      </c>
      <c r="D28" s="129" t="s">
        <v>84</v>
      </c>
      <c r="E28" s="116"/>
      <c r="F28" s="130">
        <v>0.126</v>
      </c>
      <c r="G28" s="118"/>
    </row>
    <row r="29">
      <c r="A29" s="127">
        <v>28.0</v>
      </c>
      <c r="B29" s="128" t="s">
        <v>70</v>
      </c>
      <c r="C29" s="129" t="s">
        <v>82</v>
      </c>
      <c r="D29" s="129" t="s">
        <v>85</v>
      </c>
      <c r="E29" s="116"/>
      <c r="F29" s="130">
        <v>0.126</v>
      </c>
      <c r="G29" s="118"/>
    </row>
    <row r="30">
      <c r="A30" s="127">
        <v>29.0</v>
      </c>
      <c r="B30" s="128" t="s">
        <v>70</v>
      </c>
      <c r="C30" s="129" t="s">
        <v>82</v>
      </c>
      <c r="D30" s="129" t="s">
        <v>86</v>
      </c>
      <c r="E30" s="116"/>
      <c r="F30" s="130">
        <v>0.126</v>
      </c>
      <c r="G30" s="118"/>
    </row>
    <row r="31">
      <c r="A31" s="127">
        <v>30.0</v>
      </c>
      <c r="B31" s="128" t="s">
        <v>70</v>
      </c>
      <c r="C31" s="129" t="s">
        <v>82</v>
      </c>
      <c r="D31" s="129" t="s">
        <v>62</v>
      </c>
      <c r="E31" s="116"/>
      <c r="F31" s="130">
        <v>0.126</v>
      </c>
      <c r="G31" s="118"/>
    </row>
    <row r="32">
      <c r="A32" s="127">
        <v>31.0</v>
      </c>
      <c r="B32" s="128" t="s">
        <v>70</v>
      </c>
      <c r="C32" s="129" t="s">
        <v>82</v>
      </c>
      <c r="D32" s="129" t="s">
        <v>87</v>
      </c>
      <c r="E32" s="116"/>
      <c r="F32" s="130">
        <v>0.126</v>
      </c>
      <c r="G32" s="118"/>
    </row>
    <row r="33">
      <c r="A33" s="127">
        <v>32.0</v>
      </c>
      <c r="B33" s="128" t="s">
        <v>70</v>
      </c>
      <c r="C33" s="129" t="s">
        <v>88</v>
      </c>
      <c r="D33" s="129" t="s">
        <v>89</v>
      </c>
      <c r="E33" s="116"/>
      <c r="F33" s="130">
        <v>0.078</v>
      </c>
      <c r="G33" s="118"/>
    </row>
    <row r="34">
      <c r="A34" s="127">
        <v>33.0</v>
      </c>
      <c r="B34" s="128" t="s">
        <v>70</v>
      </c>
      <c r="C34" s="129" t="s">
        <v>88</v>
      </c>
      <c r="D34" s="129" t="s">
        <v>90</v>
      </c>
      <c r="E34" s="116"/>
      <c r="F34" s="130">
        <v>0.126</v>
      </c>
      <c r="G34" s="118"/>
    </row>
    <row r="35">
      <c r="A35" s="127">
        <v>34.0</v>
      </c>
      <c r="B35" s="128" t="s">
        <v>70</v>
      </c>
      <c r="C35" s="129" t="s">
        <v>88</v>
      </c>
      <c r="D35" s="129" t="s">
        <v>91</v>
      </c>
      <c r="E35" s="116"/>
      <c r="F35" s="130">
        <v>0.064</v>
      </c>
      <c r="G35" s="118"/>
    </row>
    <row r="36">
      <c r="A36" s="127">
        <v>35.0</v>
      </c>
      <c r="B36" s="128" t="s">
        <v>70</v>
      </c>
      <c r="C36" s="129" t="s">
        <v>88</v>
      </c>
      <c r="D36" s="129" t="s">
        <v>92</v>
      </c>
      <c r="E36" s="116"/>
      <c r="F36" s="130">
        <v>0.078</v>
      </c>
      <c r="G36" s="118"/>
    </row>
    <row r="37">
      <c r="A37" s="127">
        <v>36.0</v>
      </c>
      <c r="B37" s="128" t="s">
        <v>70</v>
      </c>
      <c r="C37" s="129" t="s">
        <v>88</v>
      </c>
      <c r="D37" s="129" t="s">
        <v>93</v>
      </c>
      <c r="E37" s="116"/>
      <c r="F37" s="130">
        <v>0.064</v>
      </c>
      <c r="G37" s="118"/>
    </row>
    <row r="38">
      <c r="A38" s="127">
        <v>37.0</v>
      </c>
      <c r="B38" s="128" t="s">
        <v>70</v>
      </c>
      <c r="C38" s="129" t="s">
        <v>88</v>
      </c>
      <c r="D38" s="129" t="s">
        <v>62</v>
      </c>
      <c r="E38" s="116"/>
      <c r="F38" s="130">
        <v>0.126</v>
      </c>
      <c r="G38" s="118"/>
    </row>
    <row r="39">
      <c r="A39" s="127">
        <v>38.0</v>
      </c>
      <c r="B39" s="128" t="s">
        <v>70</v>
      </c>
      <c r="C39" s="129" t="s">
        <v>88</v>
      </c>
      <c r="D39" s="129" t="s">
        <v>94</v>
      </c>
      <c r="E39" s="116"/>
      <c r="F39" s="130">
        <v>0.078</v>
      </c>
      <c r="G39" s="118"/>
    </row>
    <row r="40">
      <c r="A40" s="119">
        <v>39.0</v>
      </c>
      <c r="B40" s="119" t="s">
        <v>70</v>
      </c>
      <c r="C40" s="120" t="s">
        <v>88</v>
      </c>
      <c r="D40" s="120" t="s">
        <v>95</v>
      </c>
      <c r="E40" s="116"/>
      <c r="F40" s="122">
        <v>0.126</v>
      </c>
      <c r="G40" s="118"/>
    </row>
    <row r="41">
      <c r="A41" s="132">
        <v>40.0</v>
      </c>
      <c r="B41" s="132" t="s">
        <v>70</v>
      </c>
      <c r="C41" s="133" t="s">
        <v>96</v>
      </c>
      <c r="D41" s="134"/>
      <c r="E41" s="116"/>
      <c r="F41" s="135">
        <v>0.126</v>
      </c>
      <c r="G41" s="118"/>
    </row>
    <row r="42">
      <c r="A42" s="132">
        <v>41.0</v>
      </c>
      <c r="B42" s="132" t="s">
        <v>70</v>
      </c>
      <c r="C42" s="133" t="s">
        <v>97</v>
      </c>
      <c r="D42" s="134"/>
      <c r="E42" s="116"/>
      <c r="F42" s="135">
        <v>0.105</v>
      </c>
      <c r="G42" s="118"/>
    </row>
    <row r="43">
      <c r="A43" s="132">
        <v>42.0</v>
      </c>
      <c r="B43" s="132" t="s">
        <v>70</v>
      </c>
      <c r="C43" s="133" t="s">
        <v>98</v>
      </c>
      <c r="D43" s="133" t="s">
        <v>99</v>
      </c>
      <c r="E43" s="116"/>
      <c r="F43" s="135">
        <v>0.126</v>
      </c>
      <c r="G43" s="118"/>
    </row>
    <row r="44">
      <c r="A44" s="132">
        <v>43.0</v>
      </c>
      <c r="B44" s="132" t="s">
        <v>70</v>
      </c>
      <c r="C44" s="133" t="s">
        <v>98</v>
      </c>
      <c r="D44" s="133" t="s">
        <v>100</v>
      </c>
      <c r="E44" s="116"/>
      <c r="F44" s="135">
        <v>0.126</v>
      </c>
      <c r="G44" s="118"/>
    </row>
    <row r="45">
      <c r="A45" s="132">
        <v>44.0</v>
      </c>
      <c r="B45" s="132" t="s">
        <v>70</v>
      </c>
      <c r="C45" s="133" t="s">
        <v>98</v>
      </c>
      <c r="D45" s="133" t="s">
        <v>101</v>
      </c>
      <c r="E45" s="116"/>
      <c r="F45" s="135">
        <v>0.126</v>
      </c>
      <c r="G45" s="118"/>
    </row>
    <row r="46">
      <c r="A46" s="132">
        <v>45.0</v>
      </c>
      <c r="B46" s="132" t="s">
        <v>70</v>
      </c>
      <c r="C46" s="133" t="s">
        <v>98</v>
      </c>
      <c r="D46" s="133" t="s">
        <v>102</v>
      </c>
      <c r="E46" s="116"/>
      <c r="F46" s="135">
        <v>0.126</v>
      </c>
      <c r="G46" s="118"/>
    </row>
    <row r="47">
      <c r="A47" s="132">
        <v>46.0</v>
      </c>
      <c r="B47" s="132" t="s">
        <v>70</v>
      </c>
      <c r="C47" s="133" t="s">
        <v>98</v>
      </c>
      <c r="D47" s="133" t="s">
        <v>62</v>
      </c>
      <c r="E47" s="116"/>
      <c r="F47" s="135">
        <v>0.126</v>
      </c>
      <c r="G47" s="118"/>
    </row>
    <row r="48">
      <c r="A48" s="132">
        <v>47.0</v>
      </c>
      <c r="B48" s="132" t="s">
        <v>70</v>
      </c>
      <c r="C48" s="133" t="s">
        <v>103</v>
      </c>
      <c r="D48" s="134"/>
      <c r="E48" s="116"/>
      <c r="F48" s="135">
        <v>0.078</v>
      </c>
      <c r="G48" s="118"/>
    </row>
    <row r="49">
      <c r="A49" s="132">
        <v>48.0</v>
      </c>
      <c r="B49" s="132" t="s">
        <v>70</v>
      </c>
      <c r="C49" s="133" t="s">
        <v>62</v>
      </c>
      <c r="D49" s="134"/>
      <c r="E49" s="116"/>
      <c r="F49" s="135">
        <v>0.126</v>
      </c>
      <c r="G49" s="118"/>
    </row>
    <row r="50">
      <c r="A50" s="132">
        <v>49.0</v>
      </c>
      <c r="B50" s="132" t="s">
        <v>70</v>
      </c>
      <c r="C50" s="133" t="s">
        <v>104</v>
      </c>
      <c r="D50" s="133" t="s">
        <v>105</v>
      </c>
      <c r="E50" s="116"/>
      <c r="F50" s="135">
        <v>0.126</v>
      </c>
      <c r="G50" s="118"/>
    </row>
    <row r="51">
      <c r="A51" s="132">
        <v>50.0</v>
      </c>
      <c r="B51" s="132" t="s">
        <v>70</v>
      </c>
      <c r="C51" s="133" t="s">
        <v>104</v>
      </c>
      <c r="D51" s="133" t="s">
        <v>106</v>
      </c>
      <c r="E51" s="116"/>
      <c r="F51" s="135">
        <v>0.126</v>
      </c>
      <c r="G51" s="118"/>
    </row>
    <row r="52">
      <c r="A52" s="132">
        <v>51.0</v>
      </c>
      <c r="B52" s="132" t="s">
        <v>70</v>
      </c>
      <c r="C52" s="133" t="s">
        <v>104</v>
      </c>
      <c r="D52" s="133" t="s">
        <v>107</v>
      </c>
      <c r="E52" s="116"/>
      <c r="F52" s="135">
        <v>0.126</v>
      </c>
      <c r="G52" s="118"/>
    </row>
    <row r="53">
      <c r="A53" s="132">
        <v>52.0</v>
      </c>
      <c r="B53" s="132" t="s">
        <v>70</v>
      </c>
      <c r="C53" s="133" t="s">
        <v>104</v>
      </c>
      <c r="D53" s="133" t="s">
        <v>62</v>
      </c>
      <c r="E53" s="116"/>
      <c r="F53" s="135">
        <v>0.126</v>
      </c>
      <c r="G53" s="118"/>
    </row>
    <row r="54">
      <c r="A54" s="132">
        <v>53.0</v>
      </c>
      <c r="B54" s="132" t="s">
        <v>70</v>
      </c>
      <c r="C54" s="133" t="s">
        <v>104</v>
      </c>
      <c r="D54" s="133" t="s">
        <v>108</v>
      </c>
      <c r="E54" s="116"/>
      <c r="F54" s="135">
        <v>0.126</v>
      </c>
      <c r="G54" s="118"/>
    </row>
    <row r="55">
      <c r="A55" s="132">
        <v>54.0</v>
      </c>
      <c r="B55" s="132" t="s">
        <v>109</v>
      </c>
      <c r="C55" s="133" t="s">
        <v>110</v>
      </c>
      <c r="D55" s="133" t="s">
        <v>111</v>
      </c>
      <c r="E55" s="116"/>
      <c r="F55" s="135">
        <v>0.126</v>
      </c>
      <c r="G55" s="118"/>
    </row>
    <row r="56">
      <c r="A56" s="132">
        <v>55.0</v>
      </c>
      <c r="B56" s="132" t="s">
        <v>109</v>
      </c>
      <c r="C56" s="133" t="s">
        <v>110</v>
      </c>
      <c r="D56" s="133" t="s">
        <v>112</v>
      </c>
      <c r="E56" s="116"/>
      <c r="F56" s="135">
        <v>0.126</v>
      </c>
      <c r="G56" s="118"/>
    </row>
    <row r="57">
      <c r="A57" s="132">
        <v>56.0</v>
      </c>
      <c r="B57" s="132" t="s">
        <v>109</v>
      </c>
      <c r="C57" s="133" t="s">
        <v>110</v>
      </c>
      <c r="D57" s="133" t="s">
        <v>113</v>
      </c>
      <c r="E57" s="116"/>
      <c r="F57" s="135">
        <v>0.126</v>
      </c>
      <c r="G57" s="118"/>
    </row>
    <row r="58">
      <c r="A58" s="132">
        <v>57.0</v>
      </c>
      <c r="B58" s="132" t="s">
        <v>109</v>
      </c>
      <c r="C58" s="133" t="s">
        <v>110</v>
      </c>
      <c r="D58" s="133" t="s">
        <v>114</v>
      </c>
      <c r="E58" s="116"/>
      <c r="F58" s="135">
        <v>0.105</v>
      </c>
      <c r="G58" s="118"/>
    </row>
    <row r="59">
      <c r="A59" s="132">
        <v>58.0</v>
      </c>
      <c r="B59" s="132" t="s">
        <v>109</v>
      </c>
      <c r="C59" s="133" t="s">
        <v>110</v>
      </c>
      <c r="D59" s="133" t="s">
        <v>115</v>
      </c>
      <c r="E59" s="116"/>
      <c r="F59" s="135">
        <v>0.126</v>
      </c>
      <c r="G59" s="118"/>
    </row>
    <row r="60">
      <c r="A60" s="132">
        <v>59.0</v>
      </c>
      <c r="B60" s="132" t="s">
        <v>109</v>
      </c>
      <c r="C60" s="133" t="s">
        <v>110</v>
      </c>
      <c r="D60" s="133" t="s">
        <v>62</v>
      </c>
      <c r="E60" s="116"/>
      <c r="F60" s="135">
        <v>0.126</v>
      </c>
      <c r="G60" s="118"/>
    </row>
    <row r="61">
      <c r="A61" s="132">
        <v>60.0</v>
      </c>
      <c r="B61" s="132" t="s">
        <v>109</v>
      </c>
      <c r="C61" s="133" t="s">
        <v>110</v>
      </c>
      <c r="D61" s="133" t="s">
        <v>116</v>
      </c>
      <c r="E61" s="116"/>
      <c r="F61" s="135">
        <v>0.105</v>
      </c>
      <c r="G61" s="118"/>
    </row>
    <row r="62">
      <c r="A62" s="132">
        <v>61.0</v>
      </c>
      <c r="B62" s="132" t="s">
        <v>109</v>
      </c>
      <c r="C62" s="133" t="s">
        <v>117</v>
      </c>
      <c r="D62" s="133" t="s">
        <v>118</v>
      </c>
      <c r="E62" s="116"/>
      <c r="F62" s="135">
        <v>0.126</v>
      </c>
      <c r="G62" s="118"/>
    </row>
    <row r="63">
      <c r="A63" s="132">
        <v>62.0</v>
      </c>
      <c r="B63" s="132" t="s">
        <v>109</v>
      </c>
      <c r="C63" s="133" t="s">
        <v>117</v>
      </c>
      <c r="D63" s="133" t="s">
        <v>119</v>
      </c>
      <c r="E63" s="116"/>
      <c r="F63" s="135">
        <v>0.126</v>
      </c>
      <c r="G63" s="118"/>
    </row>
    <row r="64">
      <c r="A64" s="132">
        <v>63.0</v>
      </c>
      <c r="B64" s="132" t="s">
        <v>109</v>
      </c>
      <c r="C64" s="133" t="s">
        <v>117</v>
      </c>
      <c r="D64" s="133" t="s">
        <v>120</v>
      </c>
      <c r="E64" s="116"/>
      <c r="F64" s="135">
        <v>0.085</v>
      </c>
      <c r="G64" s="118"/>
    </row>
    <row r="65">
      <c r="A65" s="132">
        <v>64.0</v>
      </c>
      <c r="B65" s="132" t="s">
        <v>109</v>
      </c>
      <c r="C65" s="133" t="s">
        <v>117</v>
      </c>
      <c r="D65" s="133" t="s">
        <v>121</v>
      </c>
      <c r="E65" s="116"/>
      <c r="F65" s="135">
        <v>0.126</v>
      </c>
      <c r="G65" s="118"/>
    </row>
    <row r="66">
      <c r="A66" s="132">
        <v>65.0</v>
      </c>
      <c r="B66" s="132" t="s">
        <v>109</v>
      </c>
      <c r="C66" s="133" t="s">
        <v>117</v>
      </c>
      <c r="D66" s="133" t="s">
        <v>62</v>
      </c>
      <c r="E66" s="116"/>
      <c r="F66" s="135">
        <v>0.126</v>
      </c>
      <c r="G66" s="118"/>
    </row>
    <row r="67">
      <c r="A67" s="132">
        <v>66.0</v>
      </c>
      <c r="B67" s="132" t="s">
        <v>109</v>
      </c>
      <c r="C67" s="133" t="s">
        <v>117</v>
      </c>
      <c r="D67" s="133" t="s">
        <v>122</v>
      </c>
      <c r="E67" s="116"/>
      <c r="F67" s="135">
        <v>0.126</v>
      </c>
      <c r="G67" s="118"/>
    </row>
    <row r="68">
      <c r="A68" s="132">
        <v>67.0</v>
      </c>
      <c r="B68" s="132" t="s">
        <v>109</v>
      </c>
      <c r="C68" s="133" t="s">
        <v>117</v>
      </c>
      <c r="D68" s="133" t="s">
        <v>123</v>
      </c>
      <c r="E68" s="116"/>
      <c r="F68" s="135">
        <v>0.126</v>
      </c>
      <c r="G68" s="118"/>
    </row>
    <row r="69">
      <c r="A69" s="132">
        <v>68.0</v>
      </c>
      <c r="B69" s="132" t="s">
        <v>109</v>
      </c>
      <c r="C69" s="133" t="s">
        <v>117</v>
      </c>
      <c r="D69" s="133" t="s">
        <v>124</v>
      </c>
      <c r="E69" s="116"/>
      <c r="F69" s="135">
        <v>0.078</v>
      </c>
      <c r="G69" s="118"/>
    </row>
    <row r="70">
      <c r="A70" s="132">
        <v>69.0</v>
      </c>
      <c r="B70" s="132" t="s">
        <v>109</v>
      </c>
      <c r="C70" s="133" t="s">
        <v>117</v>
      </c>
      <c r="D70" s="133" t="s">
        <v>125</v>
      </c>
      <c r="E70" s="116"/>
      <c r="F70" s="135">
        <v>0.126</v>
      </c>
      <c r="G70" s="118"/>
    </row>
    <row r="71">
      <c r="A71" s="132">
        <v>70.0</v>
      </c>
      <c r="B71" s="132" t="s">
        <v>109</v>
      </c>
      <c r="C71" s="133" t="s">
        <v>117</v>
      </c>
      <c r="D71" s="133" t="s">
        <v>126</v>
      </c>
      <c r="E71" s="116"/>
      <c r="F71" s="135">
        <v>0.126</v>
      </c>
      <c r="G71" s="118"/>
    </row>
    <row r="72">
      <c r="A72" s="132">
        <v>71.0</v>
      </c>
      <c r="B72" s="132" t="s">
        <v>109</v>
      </c>
      <c r="C72" s="133" t="s">
        <v>117</v>
      </c>
      <c r="D72" s="133" t="s">
        <v>127</v>
      </c>
      <c r="E72" s="116"/>
      <c r="F72" s="135">
        <v>0.126</v>
      </c>
      <c r="G72" s="118"/>
    </row>
    <row r="73">
      <c r="A73" s="132">
        <v>72.0</v>
      </c>
      <c r="B73" s="132" t="s">
        <v>109</v>
      </c>
      <c r="C73" s="133" t="s">
        <v>117</v>
      </c>
      <c r="D73" s="133" t="s">
        <v>128</v>
      </c>
      <c r="E73" s="116"/>
      <c r="F73" s="135">
        <v>0.105</v>
      </c>
      <c r="G73" s="118"/>
    </row>
    <row r="74">
      <c r="A74" s="132">
        <v>73.0</v>
      </c>
      <c r="B74" s="132" t="s">
        <v>109</v>
      </c>
      <c r="C74" s="133" t="s">
        <v>129</v>
      </c>
      <c r="D74" s="133" t="s">
        <v>130</v>
      </c>
      <c r="E74" s="116"/>
      <c r="F74" s="135">
        <v>0.033</v>
      </c>
      <c r="G74" s="118"/>
    </row>
    <row r="75">
      <c r="A75" s="132">
        <v>74.0</v>
      </c>
      <c r="B75" s="132" t="s">
        <v>109</v>
      </c>
      <c r="C75" s="133" t="s">
        <v>129</v>
      </c>
      <c r="D75" s="133" t="s">
        <v>131</v>
      </c>
      <c r="E75" s="116"/>
      <c r="F75" s="135">
        <v>0.033</v>
      </c>
      <c r="G75" s="118"/>
    </row>
    <row r="76">
      <c r="A76" s="132">
        <v>75.0</v>
      </c>
      <c r="B76" s="132" t="s">
        <v>109</v>
      </c>
      <c r="C76" s="133" t="s">
        <v>129</v>
      </c>
      <c r="D76" s="133" t="s">
        <v>132</v>
      </c>
      <c r="E76" s="116"/>
      <c r="F76" s="135">
        <v>0.033</v>
      </c>
      <c r="G76" s="118"/>
    </row>
    <row r="77">
      <c r="A77" s="132">
        <v>76.0</v>
      </c>
      <c r="B77" s="132" t="s">
        <v>109</v>
      </c>
      <c r="C77" s="133" t="s">
        <v>129</v>
      </c>
      <c r="D77" s="133" t="s">
        <v>62</v>
      </c>
      <c r="E77" s="116"/>
      <c r="F77" s="135">
        <v>0.085</v>
      </c>
      <c r="G77" s="118"/>
    </row>
    <row r="78">
      <c r="A78" s="132">
        <v>77.0</v>
      </c>
      <c r="B78" s="132" t="s">
        <v>109</v>
      </c>
      <c r="C78" s="133" t="s">
        <v>129</v>
      </c>
      <c r="D78" s="133" t="s">
        <v>133</v>
      </c>
      <c r="E78" s="116"/>
      <c r="F78" s="135">
        <v>0.033</v>
      </c>
      <c r="G78" s="118"/>
    </row>
    <row r="79">
      <c r="A79" s="132">
        <v>78.0</v>
      </c>
      <c r="B79" s="132" t="s">
        <v>109</v>
      </c>
      <c r="C79" s="133" t="s">
        <v>134</v>
      </c>
      <c r="D79" s="133" t="s">
        <v>135</v>
      </c>
      <c r="E79" s="116"/>
      <c r="F79" s="135">
        <v>0.105</v>
      </c>
      <c r="G79" s="118"/>
    </row>
    <row r="80">
      <c r="A80" s="132">
        <v>79.0</v>
      </c>
      <c r="B80" s="132" t="s">
        <v>109</v>
      </c>
      <c r="C80" s="133" t="s">
        <v>134</v>
      </c>
      <c r="D80" s="133" t="s">
        <v>136</v>
      </c>
      <c r="E80" s="116"/>
      <c r="F80" s="135">
        <v>0.126</v>
      </c>
      <c r="G80" s="118"/>
    </row>
    <row r="81">
      <c r="A81" s="132">
        <v>80.0</v>
      </c>
      <c r="B81" s="132" t="s">
        <v>109</v>
      </c>
      <c r="C81" s="133" t="s">
        <v>134</v>
      </c>
      <c r="D81" s="133" t="s">
        <v>137</v>
      </c>
      <c r="E81" s="116"/>
      <c r="F81" s="135">
        <v>0.126</v>
      </c>
      <c r="G81" s="118"/>
    </row>
    <row r="82">
      <c r="A82" s="132">
        <v>81.0</v>
      </c>
      <c r="B82" s="132" t="s">
        <v>109</v>
      </c>
      <c r="C82" s="133" t="s">
        <v>134</v>
      </c>
      <c r="D82" s="133" t="s">
        <v>62</v>
      </c>
      <c r="E82" s="116"/>
      <c r="F82" s="135">
        <v>0.126</v>
      </c>
      <c r="G82" s="118"/>
    </row>
    <row r="83">
      <c r="A83" s="132">
        <v>82.0</v>
      </c>
      <c r="B83" s="132" t="s">
        <v>109</v>
      </c>
      <c r="C83" s="133" t="s">
        <v>138</v>
      </c>
      <c r="D83" s="134"/>
      <c r="E83" s="116"/>
      <c r="F83" s="135">
        <v>0.033</v>
      </c>
      <c r="G83" s="118"/>
    </row>
    <row r="84">
      <c r="A84" s="132">
        <v>83.0</v>
      </c>
      <c r="B84" s="132" t="s">
        <v>109</v>
      </c>
      <c r="C84" s="133" t="s">
        <v>139</v>
      </c>
      <c r="D84" s="134"/>
      <c r="E84" s="116"/>
      <c r="F84" s="135">
        <v>0.078</v>
      </c>
      <c r="G84" s="118"/>
    </row>
    <row r="85">
      <c r="A85" s="132">
        <v>84.0</v>
      </c>
      <c r="B85" s="132" t="s">
        <v>109</v>
      </c>
      <c r="C85" s="133" t="s">
        <v>140</v>
      </c>
      <c r="D85" s="133" t="s">
        <v>141</v>
      </c>
      <c r="E85" s="116"/>
      <c r="F85" s="135">
        <v>0.126</v>
      </c>
      <c r="G85" s="118"/>
    </row>
    <row r="86">
      <c r="A86" s="132">
        <v>85.0</v>
      </c>
      <c r="B86" s="132" t="s">
        <v>109</v>
      </c>
      <c r="C86" s="133" t="s">
        <v>140</v>
      </c>
      <c r="D86" s="133" t="s">
        <v>142</v>
      </c>
      <c r="E86" s="116"/>
      <c r="F86" s="135">
        <v>0.126</v>
      </c>
      <c r="G86" s="118"/>
    </row>
    <row r="87">
      <c r="A87" s="132">
        <v>86.0</v>
      </c>
      <c r="B87" s="132" t="s">
        <v>109</v>
      </c>
      <c r="C87" s="133" t="s">
        <v>140</v>
      </c>
      <c r="D87" s="133" t="s">
        <v>143</v>
      </c>
      <c r="E87" s="116"/>
      <c r="F87" s="135">
        <v>0.126</v>
      </c>
      <c r="G87" s="118"/>
    </row>
    <row r="88">
      <c r="A88" s="132">
        <v>87.0</v>
      </c>
      <c r="B88" s="132" t="s">
        <v>109</v>
      </c>
      <c r="C88" s="133" t="s">
        <v>140</v>
      </c>
      <c r="D88" s="133" t="s">
        <v>144</v>
      </c>
      <c r="E88" s="116"/>
      <c r="F88" s="135">
        <v>0.126</v>
      </c>
      <c r="G88" s="118"/>
    </row>
    <row r="89">
      <c r="A89" s="132">
        <v>88.0</v>
      </c>
      <c r="B89" s="132" t="s">
        <v>109</v>
      </c>
      <c r="C89" s="133" t="s">
        <v>140</v>
      </c>
      <c r="D89" s="133" t="s">
        <v>62</v>
      </c>
      <c r="E89" s="116"/>
      <c r="F89" s="135">
        <v>0.126</v>
      </c>
      <c r="G89" s="118"/>
    </row>
    <row r="90">
      <c r="A90" s="132">
        <v>89.0</v>
      </c>
      <c r="B90" s="132" t="s">
        <v>109</v>
      </c>
      <c r="C90" s="133" t="s">
        <v>140</v>
      </c>
      <c r="D90" s="133" t="s">
        <v>145</v>
      </c>
      <c r="E90" s="116"/>
      <c r="F90" s="135">
        <v>0.126</v>
      </c>
      <c r="G90" s="118"/>
    </row>
    <row r="91">
      <c r="A91" s="132">
        <v>90.0</v>
      </c>
      <c r="B91" s="132" t="s">
        <v>109</v>
      </c>
      <c r="C91" s="133" t="s">
        <v>140</v>
      </c>
      <c r="D91" s="133" t="s">
        <v>146</v>
      </c>
      <c r="E91" s="116"/>
      <c r="F91" s="135">
        <v>0.126</v>
      </c>
      <c r="G91" s="118"/>
    </row>
    <row r="92">
      <c r="A92" s="132">
        <v>91.0</v>
      </c>
      <c r="B92" s="132" t="s">
        <v>109</v>
      </c>
      <c r="C92" s="133" t="s">
        <v>140</v>
      </c>
      <c r="D92" s="133" t="s">
        <v>147</v>
      </c>
      <c r="E92" s="116"/>
      <c r="F92" s="135">
        <v>0.126</v>
      </c>
      <c r="G92" s="118"/>
    </row>
    <row r="93">
      <c r="A93" s="132">
        <v>92.0</v>
      </c>
      <c r="B93" s="132" t="s">
        <v>109</v>
      </c>
      <c r="C93" s="133" t="s">
        <v>140</v>
      </c>
      <c r="D93" s="133" t="s">
        <v>148</v>
      </c>
      <c r="E93" s="116"/>
      <c r="F93" s="135">
        <v>0.126</v>
      </c>
      <c r="G93" s="118"/>
    </row>
    <row r="94">
      <c r="A94" s="132">
        <v>93.0</v>
      </c>
      <c r="B94" s="132" t="s">
        <v>109</v>
      </c>
      <c r="C94" s="133" t="s">
        <v>149</v>
      </c>
      <c r="D94" s="133" t="s">
        <v>150</v>
      </c>
      <c r="E94" s="116"/>
      <c r="F94" s="135">
        <v>0.126</v>
      </c>
      <c r="G94" s="118"/>
    </row>
    <row r="95">
      <c r="A95" s="132">
        <v>94.0</v>
      </c>
      <c r="B95" s="132" t="s">
        <v>109</v>
      </c>
      <c r="C95" s="133" t="s">
        <v>149</v>
      </c>
      <c r="D95" s="133" t="s">
        <v>151</v>
      </c>
      <c r="E95" s="116"/>
      <c r="F95" s="135">
        <v>0.126</v>
      </c>
      <c r="G95" s="118"/>
    </row>
    <row r="96">
      <c r="A96" s="132">
        <v>95.0</v>
      </c>
      <c r="B96" s="132" t="s">
        <v>109</v>
      </c>
      <c r="C96" s="133" t="s">
        <v>149</v>
      </c>
      <c r="D96" s="133" t="s">
        <v>62</v>
      </c>
      <c r="E96" s="116"/>
      <c r="F96" s="135">
        <v>0.126</v>
      </c>
      <c r="G96" s="118"/>
    </row>
    <row r="97">
      <c r="A97" s="132">
        <v>96.0</v>
      </c>
      <c r="B97" s="132" t="s">
        <v>109</v>
      </c>
      <c r="C97" s="133" t="s">
        <v>149</v>
      </c>
      <c r="D97" s="133" t="s">
        <v>152</v>
      </c>
      <c r="E97" s="116"/>
      <c r="F97" s="135">
        <v>0.126</v>
      </c>
      <c r="G97" s="118"/>
    </row>
    <row r="98">
      <c r="A98" s="132">
        <v>97.0</v>
      </c>
      <c r="B98" s="132" t="s">
        <v>109</v>
      </c>
      <c r="C98" s="133" t="s">
        <v>149</v>
      </c>
      <c r="D98" s="133" t="s">
        <v>153</v>
      </c>
      <c r="E98" s="116"/>
      <c r="F98" s="135">
        <v>0.126</v>
      </c>
      <c r="G98" s="118"/>
    </row>
    <row r="99">
      <c r="A99" s="132">
        <v>98.0</v>
      </c>
      <c r="B99" s="132" t="s">
        <v>109</v>
      </c>
      <c r="C99" s="133" t="s">
        <v>154</v>
      </c>
      <c r="D99" s="134"/>
      <c r="E99" s="116"/>
      <c r="F99" s="135">
        <v>0.126</v>
      </c>
      <c r="G99" s="118"/>
    </row>
    <row r="100">
      <c r="A100" s="132">
        <v>99.0</v>
      </c>
      <c r="B100" s="132" t="s">
        <v>109</v>
      </c>
      <c r="C100" s="133" t="s">
        <v>155</v>
      </c>
      <c r="D100" s="133" t="s">
        <v>156</v>
      </c>
      <c r="E100" s="116"/>
      <c r="F100" s="135">
        <v>0.126</v>
      </c>
      <c r="G100" s="118"/>
    </row>
    <row r="101">
      <c r="A101" s="132">
        <v>100.0</v>
      </c>
      <c r="B101" s="132" t="s">
        <v>109</v>
      </c>
      <c r="C101" s="133" t="s">
        <v>155</v>
      </c>
      <c r="D101" s="133" t="s">
        <v>157</v>
      </c>
      <c r="E101" s="116"/>
      <c r="F101" s="135">
        <v>0.126</v>
      </c>
      <c r="G101" s="118"/>
    </row>
    <row r="102">
      <c r="A102" s="132">
        <v>101.0</v>
      </c>
      <c r="B102" s="132" t="s">
        <v>109</v>
      </c>
      <c r="C102" s="133" t="s">
        <v>155</v>
      </c>
      <c r="D102" s="133" t="s">
        <v>158</v>
      </c>
      <c r="E102" s="116"/>
      <c r="F102" s="135">
        <v>0.126</v>
      </c>
      <c r="G102" s="118"/>
    </row>
    <row r="103">
      <c r="A103" s="132">
        <v>102.0</v>
      </c>
      <c r="B103" s="132" t="s">
        <v>109</v>
      </c>
      <c r="C103" s="133" t="s">
        <v>155</v>
      </c>
      <c r="D103" s="133" t="s">
        <v>159</v>
      </c>
      <c r="E103" s="116"/>
      <c r="F103" s="135">
        <v>0.126</v>
      </c>
      <c r="G103" s="118"/>
    </row>
    <row r="104">
      <c r="A104" s="132">
        <v>103.0</v>
      </c>
      <c r="B104" s="132" t="s">
        <v>109</v>
      </c>
      <c r="C104" s="133" t="s">
        <v>155</v>
      </c>
      <c r="D104" s="133" t="s">
        <v>160</v>
      </c>
      <c r="E104" s="116"/>
      <c r="F104" s="135">
        <v>0.126</v>
      </c>
      <c r="G104" s="118"/>
    </row>
    <row r="105">
      <c r="A105" s="132">
        <v>104.0</v>
      </c>
      <c r="B105" s="132" t="s">
        <v>109</v>
      </c>
      <c r="C105" s="133" t="s">
        <v>155</v>
      </c>
      <c r="D105" s="133" t="s">
        <v>161</v>
      </c>
      <c r="E105" s="116"/>
      <c r="F105" s="135">
        <v>0.126</v>
      </c>
      <c r="G105" s="118"/>
    </row>
    <row r="106">
      <c r="A106" s="132">
        <v>105.0</v>
      </c>
      <c r="B106" s="132" t="s">
        <v>109</v>
      </c>
      <c r="C106" s="133" t="s">
        <v>155</v>
      </c>
      <c r="D106" s="133" t="s">
        <v>162</v>
      </c>
      <c r="E106" s="116"/>
      <c r="F106" s="135">
        <v>0.126</v>
      </c>
      <c r="G106" s="118"/>
    </row>
    <row r="107">
      <c r="A107" s="132">
        <v>106.0</v>
      </c>
      <c r="B107" s="132" t="s">
        <v>109</v>
      </c>
      <c r="C107" s="133" t="s">
        <v>155</v>
      </c>
      <c r="D107" s="133" t="s">
        <v>62</v>
      </c>
      <c r="E107" s="116"/>
      <c r="F107" s="135">
        <v>0.126</v>
      </c>
      <c r="G107" s="118"/>
    </row>
    <row r="108">
      <c r="A108" s="132">
        <v>107.0</v>
      </c>
      <c r="B108" s="132" t="s">
        <v>109</v>
      </c>
      <c r="C108" s="133" t="s">
        <v>155</v>
      </c>
      <c r="D108" s="133" t="s">
        <v>163</v>
      </c>
      <c r="E108" s="116"/>
      <c r="F108" s="135">
        <v>0.126</v>
      </c>
      <c r="G108" s="118"/>
    </row>
    <row r="109">
      <c r="A109" s="132">
        <v>108.0</v>
      </c>
      <c r="B109" s="132" t="s">
        <v>109</v>
      </c>
      <c r="C109" s="133" t="s">
        <v>155</v>
      </c>
      <c r="D109" s="133" t="s">
        <v>164</v>
      </c>
      <c r="E109" s="116"/>
      <c r="F109" s="135">
        <v>0.126</v>
      </c>
      <c r="G109" s="118"/>
    </row>
    <row r="110">
      <c r="A110" s="132">
        <v>109.0</v>
      </c>
      <c r="B110" s="132" t="s">
        <v>109</v>
      </c>
      <c r="C110" s="133" t="s">
        <v>155</v>
      </c>
      <c r="D110" s="133" t="s">
        <v>165</v>
      </c>
      <c r="E110" s="116"/>
      <c r="F110" s="135">
        <v>0.126</v>
      </c>
      <c r="G110" s="118"/>
    </row>
    <row r="111">
      <c r="A111" s="132">
        <v>110.0</v>
      </c>
      <c r="B111" s="132" t="s">
        <v>109</v>
      </c>
      <c r="C111" s="133" t="s">
        <v>166</v>
      </c>
      <c r="D111" s="133" t="s">
        <v>167</v>
      </c>
      <c r="E111" s="116"/>
      <c r="F111" s="135">
        <v>0.105</v>
      </c>
      <c r="G111" s="118"/>
    </row>
    <row r="112">
      <c r="A112" s="132">
        <v>111.0</v>
      </c>
      <c r="B112" s="132" t="s">
        <v>109</v>
      </c>
      <c r="C112" s="133" t="s">
        <v>166</v>
      </c>
      <c r="D112" s="133" t="s">
        <v>168</v>
      </c>
      <c r="E112" s="116"/>
      <c r="F112" s="135">
        <v>0.126</v>
      </c>
      <c r="G112" s="118"/>
    </row>
    <row r="113">
      <c r="A113" s="132">
        <v>112.0</v>
      </c>
      <c r="B113" s="132" t="s">
        <v>109</v>
      </c>
      <c r="C113" s="133" t="s">
        <v>166</v>
      </c>
      <c r="D113" s="133" t="s">
        <v>62</v>
      </c>
      <c r="E113" s="116"/>
      <c r="F113" s="135">
        <v>0.126</v>
      </c>
      <c r="G113" s="118"/>
    </row>
    <row r="114">
      <c r="A114" s="132">
        <v>113.0</v>
      </c>
      <c r="B114" s="132" t="s">
        <v>109</v>
      </c>
      <c r="C114" s="133" t="s">
        <v>166</v>
      </c>
      <c r="D114" s="133" t="s">
        <v>169</v>
      </c>
      <c r="E114" s="116"/>
      <c r="F114" s="135">
        <v>0.085</v>
      </c>
      <c r="G114" s="118"/>
    </row>
    <row r="115">
      <c r="A115" s="132">
        <v>114.0</v>
      </c>
      <c r="B115" s="132" t="s">
        <v>109</v>
      </c>
      <c r="C115" s="133" t="s">
        <v>166</v>
      </c>
      <c r="D115" s="133" t="s">
        <v>170</v>
      </c>
      <c r="E115" s="116"/>
      <c r="F115" s="135">
        <v>0.105</v>
      </c>
      <c r="G115" s="118"/>
    </row>
    <row r="116">
      <c r="A116" s="132">
        <v>115.0</v>
      </c>
      <c r="B116" s="132" t="s">
        <v>109</v>
      </c>
      <c r="C116" s="133" t="s">
        <v>171</v>
      </c>
      <c r="D116" s="134"/>
      <c r="E116" s="116"/>
      <c r="F116" s="135">
        <v>0.126</v>
      </c>
      <c r="G116" s="118"/>
    </row>
    <row r="117">
      <c r="A117" s="132">
        <v>116.0</v>
      </c>
      <c r="B117" s="132" t="s">
        <v>172</v>
      </c>
      <c r="C117" s="133" t="s">
        <v>173</v>
      </c>
      <c r="D117" s="134"/>
      <c r="E117" s="116"/>
      <c r="F117" s="135">
        <v>0.126</v>
      </c>
      <c r="G117" s="118"/>
    </row>
    <row r="118">
      <c r="A118" s="132">
        <v>117.0</v>
      </c>
      <c r="B118" s="132" t="s">
        <v>172</v>
      </c>
      <c r="C118" s="133" t="s">
        <v>174</v>
      </c>
      <c r="D118" s="133" t="s">
        <v>175</v>
      </c>
      <c r="E118" s="116"/>
      <c r="F118" s="135">
        <v>0.078</v>
      </c>
      <c r="G118" s="118"/>
    </row>
    <row r="119">
      <c r="A119" s="132">
        <v>118.0</v>
      </c>
      <c r="B119" s="132" t="s">
        <v>172</v>
      </c>
      <c r="C119" s="133" t="s">
        <v>174</v>
      </c>
      <c r="D119" s="133" t="s">
        <v>176</v>
      </c>
      <c r="E119" s="116"/>
      <c r="F119" s="135">
        <v>0.126</v>
      </c>
      <c r="G119" s="118"/>
    </row>
    <row r="120">
      <c r="A120" s="132">
        <v>119.0</v>
      </c>
      <c r="B120" s="132" t="s">
        <v>172</v>
      </c>
      <c r="C120" s="133" t="s">
        <v>174</v>
      </c>
      <c r="D120" s="133" t="s">
        <v>62</v>
      </c>
      <c r="E120" s="116"/>
      <c r="F120" s="135">
        <v>0.126</v>
      </c>
      <c r="G120" s="118"/>
    </row>
    <row r="121">
      <c r="A121" s="132">
        <v>120.0</v>
      </c>
      <c r="B121" s="132" t="s">
        <v>172</v>
      </c>
      <c r="C121" s="133" t="s">
        <v>174</v>
      </c>
      <c r="D121" s="133" t="s">
        <v>177</v>
      </c>
      <c r="E121" s="116"/>
      <c r="F121" s="135">
        <v>0.085</v>
      </c>
      <c r="G121" s="118"/>
    </row>
    <row r="122">
      <c r="A122" s="132">
        <v>121.0</v>
      </c>
      <c r="B122" s="132" t="s">
        <v>172</v>
      </c>
      <c r="C122" s="133" t="s">
        <v>174</v>
      </c>
      <c r="D122" s="133" t="s">
        <v>178</v>
      </c>
      <c r="E122" s="116"/>
      <c r="F122" s="135">
        <v>0.126</v>
      </c>
      <c r="G122" s="118"/>
    </row>
    <row r="123">
      <c r="A123" s="132">
        <v>122.0</v>
      </c>
      <c r="B123" s="132" t="s">
        <v>172</v>
      </c>
      <c r="C123" s="133" t="s">
        <v>174</v>
      </c>
      <c r="D123" s="133" t="s">
        <v>179</v>
      </c>
      <c r="E123" s="116"/>
      <c r="F123" s="135">
        <v>0.126</v>
      </c>
      <c r="G123" s="118"/>
    </row>
    <row r="124">
      <c r="A124" s="132">
        <v>123.0</v>
      </c>
      <c r="B124" s="132" t="s">
        <v>172</v>
      </c>
      <c r="C124" s="133" t="s">
        <v>174</v>
      </c>
      <c r="D124" s="133" t="s">
        <v>180</v>
      </c>
      <c r="E124" s="116"/>
      <c r="F124" s="135">
        <v>0.126</v>
      </c>
      <c r="G124" s="118"/>
    </row>
    <row r="125">
      <c r="A125" s="132">
        <v>124.0</v>
      </c>
      <c r="B125" s="132" t="s">
        <v>172</v>
      </c>
      <c r="C125" s="133" t="s">
        <v>174</v>
      </c>
      <c r="D125" s="133" t="s">
        <v>181</v>
      </c>
      <c r="E125" s="116"/>
      <c r="F125" s="135">
        <v>0.126</v>
      </c>
      <c r="G125" s="118"/>
    </row>
    <row r="126">
      <c r="A126" s="132">
        <v>125.0</v>
      </c>
      <c r="B126" s="132" t="s">
        <v>172</v>
      </c>
      <c r="C126" s="133" t="s">
        <v>174</v>
      </c>
      <c r="D126" s="133" t="s">
        <v>182</v>
      </c>
      <c r="E126" s="116"/>
      <c r="F126" s="135">
        <v>0.126</v>
      </c>
      <c r="G126" s="118"/>
    </row>
    <row r="127">
      <c r="A127" s="132">
        <v>126.0</v>
      </c>
      <c r="B127" s="132" t="s">
        <v>172</v>
      </c>
      <c r="C127" s="133" t="s">
        <v>62</v>
      </c>
      <c r="D127" s="134"/>
      <c r="E127" s="116"/>
      <c r="F127" s="135">
        <v>0.126</v>
      </c>
      <c r="G127" s="118"/>
    </row>
    <row r="128">
      <c r="A128" s="132">
        <v>127.0</v>
      </c>
      <c r="B128" s="132" t="s">
        <v>172</v>
      </c>
      <c r="C128" s="133" t="s">
        <v>183</v>
      </c>
      <c r="D128" s="133" t="s">
        <v>184</v>
      </c>
      <c r="E128" s="116"/>
      <c r="F128" s="135">
        <v>0.126</v>
      </c>
      <c r="G128" s="118"/>
    </row>
    <row r="129">
      <c r="A129" s="132">
        <v>128.0</v>
      </c>
      <c r="B129" s="132" t="s">
        <v>172</v>
      </c>
      <c r="C129" s="133" t="s">
        <v>183</v>
      </c>
      <c r="D129" s="133" t="s">
        <v>185</v>
      </c>
      <c r="E129" s="116"/>
      <c r="F129" s="135">
        <v>0.126</v>
      </c>
      <c r="G129" s="118"/>
    </row>
    <row r="130">
      <c r="A130" s="132">
        <v>129.0</v>
      </c>
      <c r="B130" s="132" t="s">
        <v>172</v>
      </c>
      <c r="C130" s="133" t="s">
        <v>183</v>
      </c>
      <c r="D130" s="133" t="s">
        <v>186</v>
      </c>
      <c r="E130" s="116"/>
      <c r="F130" s="135">
        <v>0.126</v>
      </c>
      <c r="G130" s="118"/>
    </row>
    <row r="131">
      <c r="A131" s="132">
        <v>130.0</v>
      </c>
      <c r="B131" s="132" t="s">
        <v>172</v>
      </c>
      <c r="C131" s="133" t="s">
        <v>183</v>
      </c>
      <c r="D131" s="133" t="s">
        <v>187</v>
      </c>
      <c r="E131" s="116"/>
      <c r="F131" s="135">
        <v>0.126</v>
      </c>
      <c r="G131" s="118"/>
    </row>
    <row r="132">
      <c r="A132" s="132">
        <v>131.0</v>
      </c>
      <c r="B132" s="132" t="s">
        <v>172</v>
      </c>
      <c r="C132" s="133" t="s">
        <v>183</v>
      </c>
      <c r="D132" s="133" t="s">
        <v>188</v>
      </c>
      <c r="E132" s="116"/>
      <c r="F132" s="135">
        <v>0.126</v>
      </c>
      <c r="G132" s="118"/>
    </row>
    <row r="133">
      <c r="A133" s="132">
        <v>132.0</v>
      </c>
      <c r="B133" s="132" t="s">
        <v>172</v>
      </c>
      <c r="C133" s="133" t="s">
        <v>183</v>
      </c>
      <c r="D133" s="133" t="s">
        <v>189</v>
      </c>
      <c r="E133" s="116"/>
      <c r="F133" s="135">
        <v>0.126</v>
      </c>
      <c r="G133" s="118"/>
    </row>
    <row r="134">
      <c r="A134" s="132">
        <v>133.0</v>
      </c>
      <c r="B134" s="132" t="s">
        <v>172</v>
      </c>
      <c r="C134" s="133" t="s">
        <v>183</v>
      </c>
      <c r="D134" s="133" t="s">
        <v>190</v>
      </c>
      <c r="E134" s="116"/>
      <c r="F134" s="135">
        <v>0.126</v>
      </c>
      <c r="G134" s="118"/>
    </row>
    <row r="135">
      <c r="A135" s="132">
        <v>134.0</v>
      </c>
      <c r="B135" s="132" t="s">
        <v>172</v>
      </c>
      <c r="C135" s="133" t="s">
        <v>183</v>
      </c>
      <c r="D135" s="133" t="s">
        <v>191</v>
      </c>
      <c r="E135" s="116"/>
      <c r="F135" s="135">
        <v>0.126</v>
      </c>
      <c r="G135" s="118"/>
    </row>
    <row r="136">
      <c r="A136" s="132">
        <v>135.0</v>
      </c>
      <c r="B136" s="132" t="s">
        <v>172</v>
      </c>
      <c r="C136" s="133" t="s">
        <v>183</v>
      </c>
      <c r="D136" s="133" t="s">
        <v>192</v>
      </c>
      <c r="E136" s="116"/>
      <c r="F136" s="135">
        <v>0.126</v>
      </c>
      <c r="G136" s="118"/>
    </row>
    <row r="137">
      <c r="A137" s="132">
        <v>136.0</v>
      </c>
      <c r="B137" s="132" t="s">
        <v>172</v>
      </c>
      <c r="C137" s="133" t="s">
        <v>183</v>
      </c>
      <c r="D137" s="133" t="s">
        <v>193</v>
      </c>
      <c r="E137" s="116"/>
      <c r="F137" s="135">
        <v>0.126</v>
      </c>
      <c r="G137" s="118"/>
    </row>
    <row r="138">
      <c r="A138" s="132">
        <v>137.0</v>
      </c>
      <c r="B138" s="132" t="s">
        <v>194</v>
      </c>
      <c r="C138" s="133" t="s">
        <v>195</v>
      </c>
      <c r="D138" s="136"/>
      <c r="E138" s="116"/>
      <c r="F138" s="135">
        <v>0.126</v>
      </c>
      <c r="G138" s="118"/>
    </row>
    <row r="139">
      <c r="A139" s="132">
        <v>138.0</v>
      </c>
      <c r="B139" s="132" t="s">
        <v>194</v>
      </c>
      <c r="C139" s="133" t="s">
        <v>196</v>
      </c>
      <c r="D139" s="134"/>
      <c r="E139" s="116"/>
      <c r="F139" s="135">
        <v>0.126</v>
      </c>
      <c r="G139" s="118"/>
    </row>
    <row r="140">
      <c r="A140" s="132">
        <v>139.0</v>
      </c>
      <c r="B140" s="132" t="s">
        <v>194</v>
      </c>
      <c r="C140" s="133" t="s">
        <v>197</v>
      </c>
      <c r="D140" s="133" t="s">
        <v>198</v>
      </c>
      <c r="E140" s="116"/>
      <c r="F140" s="135">
        <v>0.126</v>
      </c>
      <c r="G140" s="118"/>
    </row>
    <row r="141">
      <c r="A141" s="132">
        <v>140.0</v>
      </c>
      <c r="B141" s="132" t="s">
        <v>194</v>
      </c>
      <c r="C141" s="133" t="s">
        <v>197</v>
      </c>
      <c r="D141" s="133" t="s">
        <v>199</v>
      </c>
      <c r="E141" s="116"/>
      <c r="F141" s="135">
        <v>0.126</v>
      </c>
      <c r="G141" s="118"/>
    </row>
    <row r="142">
      <c r="A142" s="132">
        <v>141.0</v>
      </c>
      <c r="B142" s="132" t="s">
        <v>194</v>
      </c>
      <c r="C142" s="133" t="s">
        <v>197</v>
      </c>
      <c r="D142" s="133" t="s">
        <v>200</v>
      </c>
      <c r="E142" s="116"/>
      <c r="F142" s="135">
        <v>0.126</v>
      </c>
      <c r="G142" s="118"/>
    </row>
    <row r="143">
      <c r="A143" s="132">
        <v>142.0</v>
      </c>
      <c r="B143" s="132" t="s">
        <v>194</v>
      </c>
      <c r="C143" s="133" t="s">
        <v>197</v>
      </c>
      <c r="D143" s="133" t="s">
        <v>201</v>
      </c>
      <c r="E143" s="116"/>
      <c r="F143" s="135">
        <v>0.126</v>
      </c>
      <c r="G143" s="118"/>
    </row>
    <row r="144">
      <c r="A144" s="132">
        <v>143.0</v>
      </c>
      <c r="B144" s="132" t="s">
        <v>194</v>
      </c>
      <c r="C144" s="133" t="s">
        <v>197</v>
      </c>
      <c r="D144" s="133" t="s">
        <v>202</v>
      </c>
      <c r="E144" s="116"/>
      <c r="F144" s="135">
        <v>0.126</v>
      </c>
      <c r="G144" s="118"/>
    </row>
    <row r="145">
      <c r="A145" s="132">
        <v>144.0</v>
      </c>
      <c r="B145" s="132" t="s">
        <v>194</v>
      </c>
      <c r="C145" s="133" t="s">
        <v>197</v>
      </c>
      <c r="D145" s="133" t="s">
        <v>203</v>
      </c>
      <c r="E145" s="116"/>
      <c r="F145" s="135">
        <v>0.126</v>
      </c>
      <c r="G145" s="118"/>
    </row>
    <row r="146">
      <c r="A146" s="132">
        <v>145.0</v>
      </c>
      <c r="B146" s="132" t="s">
        <v>194</v>
      </c>
      <c r="C146" s="133" t="s">
        <v>197</v>
      </c>
      <c r="D146" s="133" t="s">
        <v>62</v>
      </c>
      <c r="E146" s="116"/>
      <c r="F146" s="135">
        <v>0.126</v>
      </c>
      <c r="G146" s="118"/>
    </row>
    <row r="147">
      <c r="A147" s="132">
        <v>146.0</v>
      </c>
      <c r="B147" s="132" t="s">
        <v>194</v>
      </c>
      <c r="C147" s="133" t="s">
        <v>197</v>
      </c>
      <c r="D147" s="133" t="s">
        <v>204</v>
      </c>
      <c r="E147" s="116"/>
      <c r="F147" s="135">
        <v>0.126</v>
      </c>
      <c r="G147" s="118"/>
    </row>
    <row r="148">
      <c r="A148" s="132">
        <v>147.0</v>
      </c>
      <c r="B148" s="132" t="s">
        <v>194</v>
      </c>
      <c r="C148" s="133" t="s">
        <v>205</v>
      </c>
      <c r="D148" s="133" t="s">
        <v>206</v>
      </c>
      <c r="E148" s="116"/>
      <c r="F148" s="135">
        <v>0.126</v>
      </c>
      <c r="G148" s="118"/>
    </row>
    <row r="149">
      <c r="A149" s="132">
        <v>148.0</v>
      </c>
      <c r="B149" s="132" t="s">
        <v>194</v>
      </c>
      <c r="C149" s="133" t="s">
        <v>205</v>
      </c>
      <c r="D149" s="133" t="s">
        <v>207</v>
      </c>
      <c r="E149" s="116"/>
      <c r="F149" s="135">
        <v>0.126</v>
      </c>
      <c r="G149" s="118"/>
    </row>
    <row r="150">
      <c r="A150" s="132">
        <v>149.0</v>
      </c>
      <c r="B150" s="132" t="s">
        <v>194</v>
      </c>
      <c r="C150" s="133" t="s">
        <v>205</v>
      </c>
      <c r="D150" s="133" t="s">
        <v>208</v>
      </c>
      <c r="E150" s="116"/>
      <c r="F150" s="135">
        <v>0.126</v>
      </c>
      <c r="G150" s="118"/>
    </row>
    <row r="151">
      <c r="A151" s="132">
        <v>150.0</v>
      </c>
      <c r="B151" s="132" t="s">
        <v>194</v>
      </c>
      <c r="C151" s="133" t="s">
        <v>205</v>
      </c>
      <c r="D151" s="133" t="s">
        <v>209</v>
      </c>
      <c r="E151" s="116"/>
      <c r="F151" s="135">
        <v>0.064</v>
      </c>
      <c r="G151" s="118"/>
    </row>
    <row r="152">
      <c r="A152" s="132">
        <v>151.0</v>
      </c>
      <c r="B152" s="132" t="s">
        <v>194</v>
      </c>
      <c r="C152" s="133" t="s">
        <v>205</v>
      </c>
      <c r="D152" s="133" t="s">
        <v>210</v>
      </c>
      <c r="E152" s="116"/>
      <c r="F152" s="135">
        <v>0.126</v>
      </c>
      <c r="G152" s="118"/>
    </row>
    <row r="153">
      <c r="A153" s="132">
        <v>152.0</v>
      </c>
      <c r="B153" s="132" t="s">
        <v>194</v>
      </c>
      <c r="C153" s="133" t="s">
        <v>205</v>
      </c>
      <c r="D153" s="133" t="s">
        <v>211</v>
      </c>
      <c r="E153" s="116"/>
      <c r="F153" s="135">
        <v>0.055</v>
      </c>
      <c r="G153" s="118"/>
    </row>
    <row r="154">
      <c r="A154" s="132">
        <v>153.0</v>
      </c>
      <c r="B154" s="132" t="s">
        <v>194</v>
      </c>
      <c r="C154" s="133" t="s">
        <v>205</v>
      </c>
      <c r="D154" s="133" t="s">
        <v>212</v>
      </c>
      <c r="E154" s="116"/>
      <c r="F154" s="135">
        <v>0.078</v>
      </c>
      <c r="G154" s="118"/>
    </row>
    <row r="155">
      <c r="A155" s="132">
        <v>154.0</v>
      </c>
      <c r="B155" s="132" t="s">
        <v>194</v>
      </c>
      <c r="C155" s="133" t="s">
        <v>205</v>
      </c>
      <c r="D155" s="133" t="s">
        <v>213</v>
      </c>
      <c r="E155" s="116"/>
      <c r="F155" s="135">
        <v>0.126</v>
      </c>
      <c r="G155" s="118"/>
    </row>
    <row r="156">
      <c r="A156" s="132">
        <v>155.0</v>
      </c>
      <c r="B156" s="132" t="s">
        <v>194</v>
      </c>
      <c r="C156" s="133" t="s">
        <v>205</v>
      </c>
      <c r="D156" s="133" t="s">
        <v>214</v>
      </c>
      <c r="E156" s="116"/>
      <c r="F156" s="135">
        <v>0.126</v>
      </c>
      <c r="G156" s="118"/>
    </row>
    <row r="157">
      <c r="A157" s="132">
        <v>156.0</v>
      </c>
      <c r="B157" s="132" t="s">
        <v>194</v>
      </c>
      <c r="C157" s="133" t="s">
        <v>205</v>
      </c>
      <c r="D157" s="133" t="s">
        <v>215</v>
      </c>
      <c r="E157" s="116"/>
      <c r="F157" s="135">
        <v>0.126</v>
      </c>
      <c r="G157" s="118"/>
    </row>
    <row r="158">
      <c r="A158" s="132">
        <v>157.0</v>
      </c>
      <c r="B158" s="132" t="s">
        <v>194</v>
      </c>
      <c r="C158" s="133" t="s">
        <v>205</v>
      </c>
      <c r="D158" s="133" t="s">
        <v>216</v>
      </c>
      <c r="E158" s="116"/>
      <c r="F158" s="135">
        <v>0.126</v>
      </c>
      <c r="G158" s="118"/>
    </row>
    <row r="159">
      <c r="A159" s="132">
        <v>158.0</v>
      </c>
      <c r="B159" s="132" t="s">
        <v>194</v>
      </c>
      <c r="C159" s="133" t="s">
        <v>205</v>
      </c>
      <c r="D159" s="133" t="s">
        <v>217</v>
      </c>
      <c r="E159" s="116"/>
      <c r="F159" s="135">
        <v>0.126</v>
      </c>
      <c r="G159" s="118"/>
    </row>
    <row r="160">
      <c r="A160" s="132">
        <v>159.0</v>
      </c>
      <c r="B160" s="132" t="s">
        <v>194</v>
      </c>
      <c r="C160" s="133" t="s">
        <v>205</v>
      </c>
      <c r="D160" s="133" t="s">
        <v>62</v>
      </c>
      <c r="E160" s="116"/>
      <c r="F160" s="135">
        <v>0.126</v>
      </c>
      <c r="G160" s="118"/>
    </row>
    <row r="161">
      <c r="A161" s="132">
        <v>160.0</v>
      </c>
      <c r="B161" s="132" t="s">
        <v>194</v>
      </c>
      <c r="C161" s="133" t="s">
        <v>205</v>
      </c>
      <c r="D161" s="133" t="s">
        <v>218</v>
      </c>
      <c r="E161" s="116"/>
      <c r="F161" s="135">
        <v>0.126</v>
      </c>
      <c r="G161" s="118"/>
    </row>
    <row r="162">
      <c r="A162" s="132">
        <v>161.0</v>
      </c>
      <c r="B162" s="132" t="s">
        <v>194</v>
      </c>
      <c r="C162" s="133" t="s">
        <v>205</v>
      </c>
      <c r="D162" s="133" t="s">
        <v>219</v>
      </c>
      <c r="E162" s="116"/>
      <c r="F162" s="135">
        <v>0.126</v>
      </c>
      <c r="G162" s="118"/>
    </row>
    <row r="163">
      <c r="A163" s="132">
        <v>162.0</v>
      </c>
      <c r="B163" s="132" t="s">
        <v>194</v>
      </c>
      <c r="C163" s="133" t="s">
        <v>205</v>
      </c>
      <c r="D163" s="133" t="s">
        <v>220</v>
      </c>
      <c r="E163" s="116"/>
      <c r="F163" s="135">
        <v>0.055</v>
      </c>
      <c r="G163" s="118"/>
    </row>
    <row r="164">
      <c r="A164" s="132">
        <v>163.0</v>
      </c>
      <c r="B164" s="132" t="s">
        <v>194</v>
      </c>
      <c r="C164" s="133" t="s">
        <v>205</v>
      </c>
      <c r="D164" s="133" t="s">
        <v>221</v>
      </c>
      <c r="E164" s="116"/>
      <c r="F164" s="135">
        <v>0.126</v>
      </c>
      <c r="G164" s="118"/>
    </row>
    <row r="165">
      <c r="A165" s="132">
        <v>164.0</v>
      </c>
      <c r="B165" s="132" t="s">
        <v>194</v>
      </c>
      <c r="C165" s="133" t="s">
        <v>205</v>
      </c>
      <c r="D165" s="133" t="s">
        <v>222</v>
      </c>
      <c r="E165" s="116"/>
      <c r="F165" s="135">
        <v>0.126</v>
      </c>
      <c r="G165" s="118"/>
    </row>
    <row r="166">
      <c r="A166" s="132">
        <v>165.0</v>
      </c>
      <c r="B166" s="132" t="s">
        <v>194</v>
      </c>
      <c r="C166" s="133" t="s">
        <v>205</v>
      </c>
      <c r="D166" s="133" t="s">
        <v>223</v>
      </c>
      <c r="E166" s="116"/>
      <c r="F166" s="135">
        <v>0.126</v>
      </c>
      <c r="G166" s="118"/>
    </row>
    <row r="167">
      <c r="A167" s="132">
        <v>166.0</v>
      </c>
      <c r="B167" s="132" t="s">
        <v>194</v>
      </c>
      <c r="C167" s="133" t="s">
        <v>205</v>
      </c>
      <c r="D167" s="133" t="s">
        <v>224</v>
      </c>
      <c r="E167" s="116"/>
      <c r="F167" s="135">
        <v>0.126</v>
      </c>
      <c r="G167" s="118"/>
    </row>
    <row r="168">
      <c r="A168" s="132">
        <v>167.0</v>
      </c>
      <c r="B168" s="132" t="s">
        <v>194</v>
      </c>
      <c r="C168" s="133" t="s">
        <v>205</v>
      </c>
      <c r="D168" s="133" t="s">
        <v>225</v>
      </c>
      <c r="E168" s="116"/>
      <c r="F168" s="135">
        <v>0.126</v>
      </c>
      <c r="G168" s="118"/>
    </row>
    <row r="169">
      <c r="A169" s="132">
        <v>168.0</v>
      </c>
      <c r="B169" s="132" t="s">
        <v>194</v>
      </c>
      <c r="C169" s="133" t="s">
        <v>205</v>
      </c>
      <c r="D169" s="133" t="s">
        <v>226</v>
      </c>
      <c r="E169" s="116"/>
      <c r="F169" s="135">
        <v>0.085</v>
      </c>
      <c r="G169" s="118"/>
    </row>
    <row r="170">
      <c r="A170" s="132">
        <v>169.0</v>
      </c>
      <c r="B170" s="132" t="s">
        <v>194</v>
      </c>
      <c r="C170" s="133" t="s">
        <v>205</v>
      </c>
      <c r="D170" s="133" t="s">
        <v>227</v>
      </c>
      <c r="E170" s="116"/>
      <c r="F170" s="135">
        <v>0.055</v>
      </c>
      <c r="G170" s="118"/>
    </row>
    <row r="171">
      <c r="A171" s="132">
        <v>170.0</v>
      </c>
      <c r="B171" s="132" t="s">
        <v>194</v>
      </c>
      <c r="C171" s="133" t="s">
        <v>228</v>
      </c>
      <c r="D171" s="133" t="s">
        <v>229</v>
      </c>
      <c r="E171" s="116"/>
      <c r="F171" s="135">
        <v>0.064</v>
      </c>
      <c r="G171" s="118"/>
    </row>
    <row r="172">
      <c r="A172" s="132">
        <v>171.0</v>
      </c>
      <c r="B172" s="132" t="s">
        <v>194</v>
      </c>
      <c r="C172" s="133" t="s">
        <v>228</v>
      </c>
      <c r="D172" s="133" t="s">
        <v>230</v>
      </c>
      <c r="E172" s="116"/>
      <c r="F172" s="135">
        <v>0.085</v>
      </c>
      <c r="G172" s="118"/>
    </row>
    <row r="173">
      <c r="A173" s="132">
        <v>172.0</v>
      </c>
      <c r="B173" s="132" t="s">
        <v>194</v>
      </c>
      <c r="C173" s="133" t="s">
        <v>228</v>
      </c>
      <c r="D173" s="133" t="s">
        <v>231</v>
      </c>
      <c r="E173" s="116"/>
      <c r="F173" s="135">
        <v>0.064</v>
      </c>
      <c r="G173" s="118"/>
    </row>
    <row r="174">
      <c r="A174" s="132">
        <v>173.0</v>
      </c>
      <c r="B174" s="132" t="s">
        <v>194</v>
      </c>
      <c r="C174" s="133" t="s">
        <v>228</v>
      </c>
      <c r="D174" s="133" t="s">
        <v>62</v>
      </c>
      <c r="E174" s="116"/>
      <c r="F174" s="135">
        <v>0.055</v>
      </c>
      <c r="G174" s="118"/>
    </row>
    <row r="175">
      <c r="A175" s="132">
        <v>174.0</v>
      </c>
      <c r="B175" s="132" t="s">
        <v>194</v>
      </c>
      <c r="C175" s="133" t="s">
        <v>228</v>
      </c>
      <c r="D175" s="133" t="s">
        <v>232</v>
      </c>
      <c r="E175" s="116"/>
      <c r="F175" s="135">
        <v>0.055</v>
      </c>
      <c r="G175" s="118"/>
    </row>
    <row r="176">
      <c r="A176" s="132">
        <v>175.0</v>
      </c>
      <c r="B176" s="132" t="s">
        <v>194</v>
      </c>
      <c r="C176" s="133" t="s">
        <v>228</v>
      </c>
      <c r="D176" s="133" t="s">
        <v>233</v>
      </c>
      <c r="E176" s="116"/>
      <c r="F176" s="135">
        <v>0.064</v>
      </c>
      <c r="G176" s="118"/>
    </row>
    <row r="177">
      <c r="A177" s="132">
        <v>176.0</v>
      </c>
      <c r="B177" s="132" t="s">
        <v>194</v>
      </c>
      <c r="C177" s="133" t="s">
        <v>62</v>
      </c>
      <c r="D177" s="134"/>
      <c r="E177" s="116"/>
      <c r="F177" s="135">
        <v>0.126</v>
      </c>
      <c r="G177" s="118"/>
    </row>
    <row r="178">
      <c r="A178" s="132">
        <v>177.0</v>
      </c>
      <c r="B178" s="132" t="s">
        <v>194</v>
      </c>
      <c r="C178" s="133" t="s">
        <v>234</v>
      </c>
      <c r="D178" s="133" t="s">
        <v>62</v>
      </c>
      <c r="E178" s="116"/>
      <c r="F178" s="135">
        <v>0.126</v>
      </c>
      <c r="G178" s="118"/>
    </row>
    <row r="179">
      <c r="A179" s="132">
        <v>178.0</v>
      </c>
      <c r="B179" s="132" t="s">
        <v>194</v>
      </c>
      <c r="C179" s="133" t="s">
        <v>234</v>
      </c>
      <c r="D179" s="133" t="s">
        <v>235</v>
      </c>
      <c r="E179" s="116"/>
      <c r="F179" s="135">
        <v>0.126</v>
      </c>
      <c r="G179" s="118"/>
    </row>
    <row r="180">
      <c r="A180" s="132">
        <v>179.0</v>
      </c>
      <c r="B180" s="132" t="s">
        <v>194</v>
      </c>
      <c r="C180" s="133" t="s">
        <v>234</v>
      </c>
      <c r="D180" s="133" t="s">
        <v>236</v>
      </c>
      <c r="E180" s="116"/>
      <c r="F180" s="135">
        <v>0.105</v>
      </c>
      <c r="G180" s="118"/>
    </row>
    <row r="181">
      <c r="A181" s="132">
        <v>180.0</v>
      </c>
      <c r="B181" s="132" t="s">
        <v>194</v>
      </c>
      <c r="C181" s="133" t="s">
        <v>237</v>
      </c>
      <c r="D181" s="134"/>
      <c r="E181" s="116"/>
      <c r="F181" s="135">
        <v>0.126</v>
      </c>
      <c r="G181" s="118"/>
    </row>
    <row r="182">
      <c r="A182" s="132">
        <v>181.0</v>
      </c>
      <c r="B182" s="132" t="s">
        <v>194</v>
      </c>
      <c r="C182" s="133" t="s">
        <v>238</v>
      </c>
      <c r="D182" s="133" t="s">
        <v>239</v>
      </c>
      <c r="E182" s="116"/>
      <c r="F182" s="135">
        <v>0.055</v>
      </c>
      <c r="G182" s="118"/>
    </row>
    <row r="183">
      <c r="A183" s="132">
        <v>182.0</v>
      </c>
      <c r="B183" s="132" t="s">
        <v>194</v>
      </c>
      <c r="C183" s="133" t="s">
        <v>238</v>
      </c>
      <c r="D183" s="133" t="s">
        <v>240</v>
      </c>
      <c r="E183" s="116"/>
      <c r="F183" s="135">
        <v>0.126</v>
      </c>
      <c r="G183" s="118"/>
    </row>
    <row r="184">
      <c r="A184" s="132">
        <v>183.0</v>
      </c>
      <c r="B184" s="132" t="s">
        <v>194</v>
      </c>
      <c r="C184" s="133" t="s">
        <v>238</v>
      </c>
      <c r="D184" s="133" t="s">
        <v>241</v>
      </c>
      <c r="E184" s="116"/>
      <c r="F184" s="135">
        <v>0.126</v>
      </c>
      <c r="G184" s="118"/>
    </row>
    <row r="185">
      <c r="A185" s="132">
        <v>184.0</v>
      </c>
      <c r="B185" s="132" t="s">
        <v>194</v>
      </c>
      <c r="C185" s="133" t="s">
        <v>238</v>
      </c>
      <c r="D185" s="133" t="s">
        <v>62</v>
      </c>
      <c r="E185" s="116"/>
      <c r="F185" s="135">
        <v>0.126</v>
      </c>
      <c r="G185" s="118"/>
    </row>
    <row r="186">
      <c r="A186" s="132">
        <v>185.0</v>
      </c>
      <c r="B186" s="132" t="s">
        <v>194</v>
      </c>
      <c r="C186" s="133" t="s">
        <v>238</v>
      </c>
      <c r="D186" s="133" t="s">
        <v>242</v>
      </c>
      <c r="E186" s="116"/>
      <c r="F186" s="135">
        <v>0.126</v>
      </c>
      <c r="G186" s="118"/>
    </row>
    <row r="187">
      <c r="A187" s="132">
        <v>186.0</v>
      </c>
      <c r="B187" s="132" t="s">
        <v>194</v>
      </c>
      <c r="C187" s="133" t="s">
        <v>238</v>
      </c>
      <c r="D187" s="133" t="s">
        <v>243</v>
      </c>
      <c r="E187" s="116"/>
      <c r="F187" s="135">
        <v>0.085</v>
      </c>
      <c r="G187" s="118"/>
    </row>
    <row r="188">
      <c r="A188" s="132">
        <v>187.0</v>
      </c>
      <c r="B188" s="132" t="s">
        <v>194</v>
      </c>
      <c r="C188" s="133" t="s">
        <v>238</v>
      </c>
      <c r="D188" s="133" t="s">
        <v>244</v>
      </c>
      <c r="E188" s="116"/>
      <c r="F188" s="135">
        <v>0.085</v>
      </c>
      <c r="G188" s="118"/>
    </row>
    <row r="189">
      <c r="A189" s="132">
        <v>188.0</v>
      </c>
      <c r="B189" s="132" t="s">
        <v>194</v>
      </c>
      <c r="C189" s="133" t="s">
        <v>238</v>
      </c>
      <c r="D189" s="133" t="s">
        <v>245</v>
      </c>
      <c r="E189" s="116"/>
      <c r="F189" s="135">
        <v>0.126</v>
      </c>
      <c r="G189" s="118"/>
    </row>
    <row r="190">
      <c r="A190" s="132">
        <v>189.0</v>
      </c>
      <c r="B190" s="132" t="s">
        <v>194</v>
      </c>
      <c r="C190" s="133" t="s">
        <v>246</v>
      </c>
      <c r="D190" s="133" t="s">
        <v>62</v>
      </c>
      <c r="E190" s="116"/>
      <c r="F190" s="135">
        <v>0.126</v>
      </c>
      <c r="G190" s="118"/>
    </row>
    <row r="191">
      <c r="A191" s="132">
        <v>190.0</v>
      </c>
      <c r="B191" s="132" t="s">
        <v>194</v>
      </c>
      <c r="C191" s="133" t="s">
        <v>246</v>
      </c>
      <c r="D191" s="133" t="s">
        <v>247</v>
      </c>
      <c r="E191" s="116"/>
      <c r="F191" s="135">
        <v>0.126</v>
      </c>
      <c r="G191" s="118"/>
    </row>
    <row r="192">
      <c r="A192" s="132">
        <v>191.0</v>
      </c>
      <c r="B192" s="132" t="s">
        <v>194</v>
      </c>
      <c r="C192" s="133" t="s">
        <v>246</v>
      </c>
      <c r="D192" s="133" t="s">
        <v>248</v>
      </c>
      <c r="E192" s="116"/>
      <c r="F192" s="135">
        <v>0.126</v>
      </c>
      <c r="G192" s="118"/>
    </row>
    <row r="193">
      <c r="A193" s="132">
        <v>192.0</v>
      </c>
      <c r="B193" s="132" t="s">
        <v>194</v>
      </c>
      <c r="C193" s="133" t="s">
        <v>246</v>
      </c>
      <c r="D193" s="133" t="s">
        <v>249</v>
      </c>
      <c r="E193" s="116"/>
      <c r="F193" s="135">
        <v>0.126</v>
      </c>
      <c r="G193" s="118"/>
    </row>
    <row r="194">
      <c r="A194" s="132">
        <v>193.0</v>
      </c>
      <c r="B194" s="132" t="s">
        <v>194</v>
      </c>
      <c r="C194" s="133" t="s">
        <v>246</v>
      </c>
      <c r="D194" s="133" t="s">
        <v>250</v>
      </c>
      <c r="E194" s="116"/>
      <c r="F194" s="135">
        <v>0.033</v>
      </c>
      <c r="G194" s="118"/>
    </row>
    <row r="195">
      <c r="A195" s="132">
        <v>194.0</v>
      </c>
      <c r="B195" s="132" t="s">
        <v>7</v>
      </c>
      <c r="C195" s="133" t="s">
        <v>9</v>
      </c>
      <c r="D195" s="133" t="s">
        <v>251</v>
      </c>
      <c r="E195" s="116"/>
      <c r="F195" s="135">
        <v>0.126</v>
      </c>
      <c r="G195" s="118"/>
    </row>
    <row r="196">
      <c r="A196" s="132">
        <v>195.0</v>
      </c>
      <c r="B196" s="132" t="s">
        <v>7</v>
      </c>
      <c r="C196" s="133" t="s">
        <v>9</v>
      </c>
      <c r="D196" s="133" t="s">
        <v>252</v>
      </c>
      <c r="E196" s="116"/>
      <c r="F196" s="135">
        <v>0.126</v>
      </c>
      <c r="G196" s="118"/>
    </row>
    <row r="197">
      <c r="A197" s="132">
        <v>196.0</v>
      </c>
      <c r="B197" s="132" t="s">
        <v>7</v>
      </c>
      <c r="C197" s="133" t="s">
        <v>9</v>
      </c>
      <c r="D197" s="133" t="s">
        <v>253</v>
      </c>
      <c r="E197" s="116"/>
      <c r="F197" s="135">
        <v>0.126</v>
      </c>
      <c r="G197" s="118"/>
    </row>
    <row r="198">
      <c r="A198" s="132">
        <v>197.0</v>
      </c>
      <c r="B198" s="132" t="s">
        <v>7</v>
      </c>
      <c r="C198" s="133" t="s">
        <v>9</v>
      </c>
      <c r="D198" s="133" t="s">
        <v>254</v>
      </c>
      <c r="E198" s="116"/>
      <c r="F198" s="135">
        <v>0.126</v>
      </c>
      <c r="G198" s="118"/>
    </row>
    <row r="199">
      <c r="A199" s="132">
        <v>198.0</v>
      </c>
      <c r="B199" s="132" t="s">
        <v>7</v>
      </c>
      <c r="C199" s="133" t="s">
        <v>9</v>
      </c>
      <c r="D199" s="133" t="s">
        <v>255</v>
      </c>
      <c r="E199" s="116"/>
      <c r="F199" s="135">
        <v>0.126</v>
      </c>
      <c r="G199" s="118"/>
    </row>
    <row r="200">
      <c r="A200" s="132">
        <v>199.0</v>
      </c>
      <c r="B200" s="132" t="s">
        <v>7</v>
      </c>
      <c r="C200" s="133" t="s">
        <v>9</v>
      </c>
      <c r="D200" s="133" t="s">
        <v>256</v>
      </c>
      <c r="E200" s="116"/>
      <c r="F200" s="135">
        <v>0.126</v>
      </c>
      <c r="G200" s="118"/>
    </row>
    <row r="201">
      <c r="A201" s="132">
        <v>200.0</v>
      </c>
      <c r="B201" s="132" t="s">
        <v>7</v>
      </c>
      <c r="C201" s="133" t="s">
        <v>9</v>
      </c>
      <c r="D201" s="133" t="s">
        <v>257</v>
      </c>
      <c r="E201" s="116"/>
      <c r="F201" s="135">
        <v>0.126</v>
      </c>
      <c r="G201" s="118"/>
    </row>
    <row r="202">
      <c r="A202" s="132">
        <v>201.0</v>
      </c>
      <c r="B202" s="132" t="s">
        <v>7</v>
      </c>
      <c r="C202" s="133" t="s">
        <v>9</v>
      </c>
      <c r="D202" s="133" t="s">
        <v>62</v>
      </c>
      <c r="E202" s="116"/>
      <c r="F202" s="135">
        <v>0.126</v>
      </c>
      <c r="G202" s="118"/>
    </row>
    <row r="203">
      <c r="A203" s="132">
        <v>202.0</v>
      </c>
      <c r="B203" s="132" t="s">
        <v>7</v>
      </c>
      <c r="C203" s="133" t="s">
        <v>9</v>
      </c>
      <c r="D203" s="133" t="s">
        <v>258</v>
      </c>
      <c r="E203" s="116"/>
      <c r="F203" s="135">
        <v>0.126</v>
      </c>
      <c r="G203" s="118"/>
    </row>
    <row r="204">
      <c r="A204" s="132">
        <v>203.0</v>
      </c>
      <c r="B204" s="132" t="s">
        <v>7</v>
      </c>
      <c r="C204" s="133" t="s">
        <v>9</v>
      </c>
      <c r="D204" s="133" t="s">
        <v>259</v>
      </c>
      <c r="E204" s="116"/>
      <c r="F204" s="135">
        <v>0.126</v>
      </c>
      <c r="G204" s="118"/>
    </row>
    <row r="205">
      <c r="A205" s="132">
        <v>204.0</v>
      </c>
      <c r="B205" s="132" t="s">
        <v>7</v>
      </c>
      <c r="C205" s="133" t="s">
        <v>9</v>
      </c>
      <c r="D205" s="133" t="s">
        <v>260</v>
      </c>
      <c r="E205" s="116"/>
      <c r="F205" s="135">
        <v>0.126</v>
      </c>
      <c r="G205" s="118"/>
    </row>
    <row r="206">
      <c r="A206" s="132">
        <v>205.0</v>
      </c>
      <c r="B206" s="132" t="s">
        <v>7</v>
      </c>
      <c r="C206" s="133" t="s">
        <v>9</v>
      </c>
      <c r="D206" s="133" t="s">
        <v>261</v>
      </c>
      <c r="E206" s="116"/>
      <c r="F206" s="135">
        <v>0.126</v>
      </c>
      <c r="G206" s="118"/>
    </row>
    <row r="207">
      <c r="A207" s="132">
        <v>206.0</v>
      </c>
      <c r="B207" s="132" t="s">
        <v>7</v>
      </c>
      <c r="C207" s="133" t="s">
        <v>9</v>
      </c>
      <c r="D207" s="133" t="s">
        <v>262</v>
      </c>
      <c r="E207" s="116"/>
      <c r="F207" s="135">
        <v>0.126</v>
      </c>
      <c r="G207" s="118"/>
    </row>
    <row r="208">
      <c r="A208" s="132">
        <v>207.0</v>
      </c>
      <c r="B208" s="132" t="s">
        <v>7</v>
      </c>
      <c r="C208" s="133" t="s">
        <v>9</v>
      </c>
      <c r="D208" s="133" t="s">
        <v>263</v>
      </c>
      <c r="E208" s="116"/>
      <c r="F208" s="135">
        <v>0.126</v>
      </c>
      <c r="G208" s="118"/>
    </row>
    <row r="209">
      <c r="A209" s="132">
        <v>208.0</v>
      </c>
      <c r="B209" s="132" t="s">
        <v>7</v>
      </c>
      <c r="C209" s="133" t="s">
        <v>9</v>
      </c>
      <c r="D209" s="133" t="s">
        <v>264</v>
      </c>
      <c r="E209" s="116"/>
      <c r="F209" s="135">
        <v>0.126</v>
      </c>
      <c r="G209" s="118"/>
    </row>
    <row r="210">
      <c r="A210" s="132">
        <v>209.0</v>
      </c>
      <c r="B210" s="132" t="s">
        <v>7</v>
      </c>
      <c r="C210" s="133" t="s">
        <v>9</v>
      </c>
      <c r="D210" s="133" t="s">
        <v>265</v>
      </c>
      <c r="E210" s="116"/>
      <c r="F210" s="135">
        <v>0.126</v>
      </c>
      <c r="G210" s="118"/>
    </row>
    <row r="211">
      <c r="A211" s="132">
        <v>210.0</v>
      </c>
      <c r="B211" s="132" t="s">
        <v>7</v>
      </c>
      <c r="C211" s="133" t="s">
        <v>9</v>
      </c>
      <c r="D211" s="133" t="s">
        <v>266</v>
      </c>
      <c r="E211" s="116"/>
      <c r="F211" s="135">
        <v>0.126</v>
      </c>
      <c r="G211" s="118"/>
    </row>
    <row r="212">
      <c r="A212" s="132">
        <v>211.0</v>
      </c>
      <c r="B212" s="132" t="s">
        <v>7</v>
      </c>
      <c r="C212" s="133" t="s">
        <v>9</v>
      </c>
      <c r="D212" s="133" t="s">
        <v>267</v>
      </c>
      <c r="E212" s="116"/>
      <c r="F212" s="135">
        <v>0.126</v>
      </c>
      <c r="G212" s="118"/>
    </row>
    <row r="213">
      <c r="A213" s="132">
        <v>212.0</v>
      </c>
      <c r="B213" s="132" t="s">
        <v>7</v>
      </c>
      <c r="C213" s="133" t="s">
        <v>243</v>
      </c>
      <c r="D213" s="134"/>
      <c r="E213" s="116"/>
      <c r="F213" s="135">
        <v>0.02</v>
      </c>
      <c r="G213" s="118"/>
    </row>
    <row r="214">
      <c r="A214" s="132">
        <v>213.0</v>
      </c>
      <c r="B214" s="132" t="s">
        <v>7</v>
      </c>
      <c r="C214" s="133" t="s">
        <v>62</v>
      </c>
      <c r="D214" s="134"/>
      <c r="E214" s="116"/>
      <c r="F214" s="135">
        <v>0.126</v>
      </c>
      <c r="G214" s="118"/>
    </row>
    <row r="215">
      <c r="A215" s="132">
        <v>214.0</v>
      </c>
      <c r="B215" s="132" t="s">
        <v>7</v>
      </c>
      <c r="C215" s="133" t="s">
        <v>268</v>
      </c>
      <c r="D215" s="134"/>
      <c r="E215" s="116"/>
      <c r="F215" s="135">
        <v>0.126</v>
      </c>
      <c r="G215" s="118"/>
    </row>
    <row r="216">
      <c r="A216" s="132">
        <v>215.0</v>
      </c>
      <c r="B216" s="132" t="s">
        <v>7</v>
      </c>
      <c r="C216" s="133" t="s">
        <v>269</v>
      </c>
      <c r="D216" s="134"/>
      <c r="E216" s="116"/>
      <c r="F216" s="135">
        <v>0.033</v>
      </c>
      <c r="G216" s="118"/>
    </row>
    <row r="217">
      <c r="A217" s="132">
        <v>216.0</v>
      </c>
      <c r="B217" s="132" t="s">
        <v>7</v>
      </c>
      <c r="C217" s="133" t="s">
        <v>270</v>
      </c>
      <c r="D217" s="134"/>
      <c r="E217" s="116"/>
      <c r="F217" s="135">
        <v>0.126</v>
      </c>
      <c r="G217" s="118"/>
    </row>
    <row r="218">
      <c r="A218" s="132">
        <v>217.0</v>
      </c>
      <c r="B218" s="132" t="s">
        <v>7</v>
      </c>
      <c r="C218" s="133" t="s">
        <v>271</v>
      </c>
      <c r="D218" s="133" t="s">
        <v>272</v>
      </c>
      <c r="E218" s="116"/>
      <c r="F218" s="135">
        <v>0.126</v>
      </c>
      <c r="G218" s="118"/>
    </row>
    <row r="219">
      <c r="A219" s="132">
        <v>218.0</v>
      </c>
      <c r="B219" s="132" t="s">
        <v>7</v>
      </c>
      <c r="C219" s="133" t="s">
        <v>271</v>
      </c>
      <c r="D219" s="133" t="s">
        <v>62</v>
      </c>
      <c r="E219" s="116"/>
      <c r="F219" s="135">
        <v>0.126</v>
      </c>
      <c r="G219" s="118"/>
    </row>
    <row r="220">
      <c r="A220" s="132">
        <v>219.0</v>
      </c>
      <c r="B220" s="132" t="s">
        <v>7</v>
      </c>
      <c r="C220" s="133" t="s">
        <v>271</v>
      </c>
      <c r="D220" s="133" t="s">
        <v>273</v>
      </c>
      <c r="E220" s="116"/>
      <c r="F220" s="135">
        <v>0.105</v>
      </c>
      <c r="G220" s="118"/>
    </row>
    <row r="221">
      <c r="A221" s="132">
        <v>220.0</v>
      </c>
      <c r="B221" s="132" t="s">
        <v>7</v>
      </c>
      <c r="C221" s="133" t="s">
        <v>271</v>
      </c>
      <c r="D221" s="133" t="s">
        <v>274</v>
      </c>
      <c r="E221" s="116"/>
      <c r="F221" s="135">
        <v>0.126</v>
      </c>
      <c r="G221" s="118"/>
    </row>
    <row r="222">
      <c r="A222" s="132">
        <v>221.0</v>
      </c>
      <c r="B222" s="132" t="s">
        <v>275</v>
      </c>
      <c r="C222" s="133" t="s">
        <v>276</v>
      </c>
      <c r="D222" s="133" t="s">
        <v>277</v>
      </c>
      <c r="E222" s="116"/>
      <c r="F222" s="135">
        <v>0.126</v>
      </c>
      <c r="G222" s="118"/>
    </row>
    <row r="223">
      <c r="A223" s="132">
        <v>222.0</v>
      </c>
      <c r="B223" s="132" t="s">
        <v>275</v>
      </c>
      <c r="C223" s="133" t="s">
        <v>276</v>
      </c>
      <c r="D223" s="133" t="s">
        <v>278</v>
      </c>
      <c r="E223" s="116"/>
      <c r="F223" s="135">
        <v>0.126</v>
      </c>
      <c r="G223" s="118"/>
    </row>
    <row r="224">
      <c r="A224" s="132">
        <v>223.0</v>
      </c>
      <c r="B224" s="132" t="s">
        <v>275</v>
      </c>
      <c r="C224" s="133" t="s">
        <v>276</v>
      </c>
      <c r="D224" s="133" t="s">
        <v>279</v>
      </c>
      <c r="E224" s="116"/>
      <c r="F224" s="135">
        <v>0.126</v>
      </c>
      <c r="G224" s="118"/>
    </row>
    <row r="225">
      <c r="A225" s="132">
        <v>224.0</v>
      </c>
      <c r="B225" s="132" t="s">
        <v>275</v>
      </c>
      <c r="C225" s="133" t="s">
        <v>276</v>
      </c>
      <c r="D225" s="133" t="s">
        <v>280</v>
      </c>
      <c r="E225" s="116"/>
      <c r="F225" s="135">
        <v>0.126</v>
      </c>
      <c r="G225" s="118"/>
    </row>
    <row r="226">
      <c r="A226" s="132">
        <v>225.0</v>
      </c>
      <c r="B226" s="132" t="s">
        <v>275</v>
      </c>
      <c r="C226" s="133" t="s">
        <v>276</v>
      </c>
      <c r="D226" s="133" t="s">
        <v>62</v>
      </c>
      <c r="E226" s="116"/>
      <c r="F226" s="135">
        <v>0.126</v>
      </c>
      <c r="G226" s="118"/>
    </row>
    <row r="227">
      <c r="A227" s="132">
        <v>226.0</v>
      </c>
      <c r="B227" s="132" t="s">
        <v>275</v>
      </c>
      <c r="C227" s="133" t="s">
        <v>276</v>
      </c>
      <c r="D227" s="133" t="s">
        <v>281</v>
      </c>
      <c r="E227" s="116"/>
      <c r="F227" s="135">
        <v>0.126</v>
      </c>
      <c r="G227" s="118"/>
    </row>
    <row r="228">
      <c r="A228" s="132">
        <v>227.0</v>
      </c>
      <c r="B228" s="132" t="s">
        <v>275</v>
      </c>
      <c r="C228" s="133" t="s">
        <v>282</v>
      </c>
      <c r="D228" s="133" t="s">
        <v>283</v>
      </c>
      <c r="E228" s="116"/>
      <c r="F228" s="135">
        <v>0.126</v>
      </c>
      <c r="G228" s="118"/>
    </row>
    <row r="229">
      <c r="A229" s="132">
        <v>228.0</v>
      </c>
      <c r="B229" s="132" t="s">
        <v>275</v>
      </c>
      <c r="C229" s="133" t="s">
        <v>282</v>
      </c>
      <c r="D229" s="133" t="s">
        <v>284</v>
      </c>
      <c r="E229" s="116"/>
      <c r="F229" s="135">
        <v>0.126</v>
      </c>
      <c r="G229" s="118"/>
    </row>
    <row r="230">
      <c r="A230" s="132">
        <v>229.0</v>
      </c>
      <c r="B230" s="132" t="s">
        <v>275</v>
      </c>
      <c r="C230" s="133" t="s">
        <v>282</v>
      </c>
      <c r="D230" s="133" t="s">
        <v>285</v>
      </c>
      <c r="E230" s="116"/>
      <c r="F230" s="135">
        <v>0.126</v>
      </c>
      <c r="G230" s="118"/>
    </row>
    <row r="231">
      <c r="A231" s="132">
        <v>230.0</v>
      </c>
      <c r="B231" s="132" t="s">
        <v>275</v>
      </c>
      <c r="C231" s="133" t="s">
        <v>282</v>
      </c>
      <c r="D231" s="133" t="s">
        <v>62</v>
      </c>
      <c r="E231" s="116"/>
      <c r="F231" s="135">
        <v>0.126</v>
      </c>
      <c r="G231" s="118"/>
    </row>
    <row r="232">
      <c r="A232" s="132">
        <v>231.0</v>
      </c>
      <c r="B232" s="132" t="s">
        <v>275</v>
      </c>
      <c r="C232" s="133" t="s">
        <v>282</v>
      </c>
      <c r="D232" s="133" t="s">
        <v>286</v>
      </c>
      <c r="E232" s="116"/>
      <c r="F232" s="135">
        <v>0.126</v>
      </c>
      <c r="G232" s="118"/>
    </row>
    <row r="233">
      <c r="A233" s="132">
        <v>232.0</v>
      </c>
      <c r="B233" s="132" t="s">
        <v>275</v>
      </c>
      <c r="C233" s="133" t="s">
        <v>287</v>
      </c>
      <c r="D233" s="133" t="s">
        <v>288</v>
      </c>
      <c r="E233" s="116"/>
      <c r="F233" s="135">
        <v>0.126</v>
      </c>
      <c r="G233" s="118"/>
    </row>
    <row r="234">
      <c r="A234" s="132">
        <v>233.0</v>
      </c>
      <c r="B234" s="132" t="s">
        <v>275</v>
      </c>
      <c r="C234" s="133" t="s">
        <v>287</v>
      </c>
      <c r="D234" s="133" t="s">
        <v>289</v>
      </c>
      <c r="E234" s="116"/>
      <c r="F234" s="135">
        <v>0.126</v>
      </c>
      <c r="G234" s="118"/>
    </row>
    <row r="235">
      <c r="A235" s="132">
        <v>234.0</v>
      </c>
      <c r="B235" s="132" t="s">
        <v>275</v>
      </c>
      <c r="C235" s="133" t="s">
        <v>287</v>
      </c>
      <c r="D235" s="133" t="s">
        <v>62</v>
      </c>
      <c r="E235" s="116"/>
      <c r="F235" s="135">
        <v>0.126</v>
      </c>
      <c r="G235" s="118"/>
    </row>
    <row r="236">
      <c r="A236" s="132">
        <v>235.0</v>
      </c>
      <c r="B236" s="132" t="s">
        <v>275</v>
      </c>
      <c r="C236" s="133" t="s">
        <v>290</v>
      </c>
      <c r="D236" s="134"/>
      <c r="E236" s="116"/>
      <c r="F236" s="135">
        <v>0.126</v>
      </c>
      <c r="G236" s="118"/>
    </row>
    <row r="237">
      <c r="A237" s="132">
        <v>236.0</v>
      </c>
      <c r="B237" s="132" t="s">
        <v>275</v>
      </c>
      <c r="C237" s="133" t="s">
        <v>62</v>
      </c>
      <c r="D237" s="134"/>
      <c r="E237" s="116"/>
      <c r="F237" s="135">
        <v>0.126</v>
      </c>
      <c r="G237" s="118"/>
    </row>
    <row r="238">
      <c r="A238" s="132">
        <v>237.0</v>
      </c>
      <c r="B238" s="132" t="s">
        <v>275</v>
      </c>
      <c r="C238" s="133" t="s">
        <v>291</v>
      </c>
      <c r="D238" s="133" t="s">
        <v>292</v>
      </c>
      <c r="E238" s="116"/>
      <c r="F238" s="135">
        <v>0.126</v>
      </c>
      <c r="G238" s="118"/>
    </row>
    <row r="239">
      <c r="A239" s="132">
        <v>238.0</v>
      </c>
      <c r="B239" s="132" t="s">
        <v>275</v>
      </c>
      <c r="C239" s="133" t="s">
        <v>291</v>
      </c>
      <c r="D239" s="133" t="s">
        <v>293</v>
      </c>
      <c r="E239" s="116"/>
      <c r="F239" s="135">
        <v>0.126</v>
      </c>
      <c r="G239" s="118"/>
    </row>
    <row r="240">
      <c r="A240" s="132">
        <v>239.0</v>
      </c>
      <c r="B240" s="132" t="s">
        <v>275</v>
      </c>
      <c r="C240" s="133" t="s">
        <v>291</v>
      </c>
      <c r="D240" s="133" t="s">
        <v>294</v>
      </c>
      <c r="E240" s="116"/>
      <c r="F240" s="135">
        <v>0.126</v>
      </c>
      <c r="G240" s="118"/>
    </row>
    <row r="241">
      <c r="A241" s="132">
        <v>240.0</v>
      </c>
      <c r="B241" s="132" t="s">
        <v>275</v>
      </c>
      <c r="C241" s="133" t="s">
        <v>291</v>
      </c>
      <c r="D241" s="133" t="s">
        <v>295</v>
      </c>
      <c r="E241" s="116"/>
      <c r="F241" s="135">
        <v>0.126</v>
      </c>
      <c r="G241" s="118"/>
    </row>
    <row r="242">
      <c r="A242" s="132">
        <v>241.0</v>
      </c>
      <c r="B242" s="132" t="s">
        <v>275</v>
      </c>
      <c r="C242" s="133" t="s">
        <v>291</v>
      </c>
      <c r="D242" s="133" t="s">
        <v>296</v>
      </c>
      <c r="E242" s="116"/>
      <c r="F242" s="135">
        <v>0.126</v>
      </c>
      <c r="G242" s="118"/>
    </row>
    <row r="243">
      <c r="A243" s="132">
        <v>242.0</v>
      </c>
      <c r="B243" s="132" t="s">
        <v>275</v>
      </c>
      <c r="C243" s="133" t="s">
        <v>291</v>
      </c>
      <c r="D243" s="133" t="s">
        <v>62</v>
      </c>
      <c r="E243" s="116"/>
      <c r="F243" s="135">
        <v>0.126</v>
      </c>
      <c r="G243" s="118"/>
    </row>
    <row r="244">
      <c r="A244" s="132">
        <v>243.0</v>
      </c>
      <c r="B244" s="132" t="s">
        <v>275</v>
      </c>
      <c r="C244" s="133" t="s">
        <v>291</v>
      </c>
      <c r="D244" s="133" t="s">
        <v>297</v>
      </c>
      <c r="E244" s="116"/>
      <c r="F244" s="135">
        <v>0.126</v>
      </c>
      <c r="G244" s="118"/>
    </row>
    <row r="245">
      <c r="A245" s="132">
        <v>244.0</v>
      </c>
      <c r="B245" s="132" t="s">
        <v>275</v>
      </c>
      <c r="C245" s="133" t="s">
        <v>298</v>
      </c>
      <c r="D245" s="133" t="s">
        <v>299</v>
      </c>
      <c r="E245" s="116"/>
      <c r="F245" s="135">
        <v>0.126</v>
      </c>
      <c r="G245" s="118"/>
    </row>
    <row r="246">
      <c r="A246" s="132">
        <v>245.0</v>
      </c>
      <c r="B246" s="132" t="s">
        <v>275</v>
      </c>
      <c r="C246" s="133" t="s">
        <v>298</v>
      </c>
      <c r="D246" s="133" t="s">
        <v>62</v>
      </c>
      <c r="E246" s="116"/>
      <c r="F246" s="135">
        <v>0.126</v>
      </c>
      <c r="G246" s="118"/>
    </row>
    <row r="247">
      <c r="A247" s="132">
        <v>246.0</v>
      </c>
      <c r="B247" s="132" t="s">
        <v>275</v>
      </c>
      <c r="C247" s="133" t="s">
        <v>298</v>
      </c>
      <c r="D247" s="133" t="s">
        <v>300</v>
      </c>
      <c r="E247" s="116"/>
      <c r="F247" s="135">
        <v>0.126</v>
      </c>
      <c r="G247" s="118"/>
    </row>
    <row r="248">
      <c r="A248" s="132">
        <v>247.0</v>
      </c>
      <c r="B248" s="132" t="s">
        <v>275</v>
      </c>
      <c r="C248" s="133" t="s">
        <v>298</v>
      </c>
      <c r="D248" s="133" t="s">
        <v>301</v>
      </c>
      <c r="E248" s="116"/>
      <c r="F248" s="135">
        <v>0.126</v>
      </c>
      <c r="G248" s="118"/>
    </row>
    <row r="249">
      <c r="A249" s="132">
        <v>248.0</v>
      </c>
      <c r="B249" s="132" t="s">
        <v>275</v>
      </c>
      <c r="C249" s="133" t="s">
        <v>302</v>
      </c>
      <c r="D249" s="133" t="s">
        <v>303</v>
      </c>
      <c r="E249" s="116"/>
      <c r="F249" s="135">
        <v>0.126</v>
      </c>
      <c r="G249" s="118"/>
    </row>
    <row r="250">
      <c r="A250" s="132">
        <v>249.0</v>
      </c>
      <c r="B250" s="132" t="s">
        <v>275</v>
      </c>
      <c r="C250" s="133" t="s">
        <v>302</v>
      </c>
      <c r="D250" s="133" t="s">
        <v>62</v>
      </c>
      <c r="E250" s="116"/>
      <c r="F250" s="135">
        <v>0.126</v>
      </c>
      <c r="G250" s="118"/>
    </row>
    <row r="251">
      <c r="A251" s="132">
        <v>250.0</v>
      </c>
      <c r="B251" s="132" t="s">
        <v>275</v>
      </c>
      <c r="C251" s="133" t="s">
        <v>302</v>
      </c>
      <c r="D251" s="133" t="s">
        <v>304</v>
      </c>
      <c r="E251" s="116"/>
      <c r="F251" s="135">
        <v>0.126</v>
      </c>
      <c r="G251" s="118"/>
    </row>
    <row r="252">
      <c r="A252" s="132">
        <v>251.0</v>
      </c>
      <c r="B252" s="132" t="s">
        <v>275</v>
      </c>
      <c r="C252" s="133" t="s">
        <v>305</v>
      </c>
      <c r="D252" s="133" t="s">
        <v>306</v>
      </c>
      <c r="E252" s="116"/>
      <c r="F252" s="135">
        <v>0.126</v>
      </c>
      <c r="G252" s="118"/>
    </row>
    <row r="253">
      <c r="A253" s="132">
        <v>252.0</v>
      </c>
      <c r="B253" s="132" t="s">
        <v>275</v>
      </c>
      <c r="C253" s="133" t="s">
        <v>305</v>
      </c>
      <c r="D253" s="133" t="s">
        <v>307</v>
      </c>
      <c r="E253" s="116"/>
      <c r="F253" s="135">
        <v>0.126</v>
      </c>
      <c r="G253" s="118"/>
    </row>
    <row r="254">
      <c r="A254" s="132">
        <v>253.0</v>
      </c>
      <c r="B254" s="132" t="s">
        <v>275</v>
      </c>
      <c r="C254" s="133" t="s">
        <v>305</v>
      </c>
      <c r="D254" s="133" t="s">
        <v>308</v>
      </c>
      <c r="E254" s="116"/>
      <c r="F254" s="135">
        <v>0.126</v>
      </c>
      <c r="G254" s="118"/>
    </row>
    <row r="255">
      <c r="A255" s="132">
        <v>254.0</v>
      </c>
      <c r="B255" s="132" t="s">
        <v>275</v>
      </c>
      <c r="C255" s="133" t="s">
        <v>305</v>
      </c>
      <c r="D255" s="133" t="s">
        <v>62</v>
      </c>
      <c r="E255" s="116"/>
      <c r="F255" s="135">
        <v>0.126</v>
      </c>
      <c r="G255" s="118"/>
    </row>
    <row r="256">
      <c r="A256" s="132">
        <v>255.0</v>
      </c>
      <c r="B256" s="132" t="s">
        <v>275</v>
      </c>
      <c r="C256" s="133" t="s">
        <v>309</v>
      </c>
      <c r="D256" s="134"/>
      <c r="E256" s="116"/>
      <c r="F256" s="135">
        <v>0.126</v>
      </c>
      <c r="G256" s="118"/>
    </row>
    <row r="257">
      <c r="A257" s="132">
        <v>256.0</v>
      </c>
      <c r="B257" s="132" t="s">
        <v>275</v>
      </c>
      <c r="C257" s="133" t="s">
        <v>310</v>
      </c>
      <c r="D257" s="133" t="s">
        <v>311</v>
      </c>
      <c r="E257" s="116"/>
      <c r="F257" s="135">
        <v>0.126</v>
      </c>
      <c r="G257" s="118"/>
    </row>
    <row r="258">
      <c r="A258" s="132">
        <v>257.0</v>
      </c>
      <c r="B258" s="132" t="s">
        <v>275</v>
      </c>
      <c r="C258" s="133" t="s">
        <v>310</v>
      </c>
      <c r="D258" s="133" t="s">
        <v>312</v>
      </c>
      <c r="E258" s="116"/>
      <c r="F258" s="135">
        <v>0.126</v>
      </c>
      <c r="G258" s="118"/>
    </row>
    <row r="259">
      <c r="A259" s="132">
        <v>258.0</v>
      </c>
      <c r="B259" s="132" t="s">
        <v>275</v>
      </c>
      <c r="C259" s="133" t="s">
        <v>310</v>
      </c>
      <c r="D259" s="133" t="s">
        <v>313</v>
      </c>
      <c r="E259" s="116"/>
      <c r="F259" s="135">
        <v>0.126</v>
      </c>
      <c r="G259" s="118"/>
    </row>
    <row r="260">
      <c r="A260" s="132">
        <v>259.0</v>
      </c>
      <c r="B260" s="132" t="s">
        <v>275</v>
      </c>
      <c r="C260" s="133" t="s">
        <v>310</v>
      </c>
      <c r="D260" s="133" t="s">
        <v>314</v>
      </c>
      <c r="E260" s="116"/>
      <c r="F260" s="135">
        <v>0.126</v>
      </c>
      <c r="G260" s="118"/>
    </row>
    <row r="261">
      <c r="A261" s="132">
        <v>260.0</v>
      </c>
      <c r="B261" s="132" t="s">
        <v>275</v>
      </c>
      <c r="C261" s="133" t="s">
        <v>310</v>
      </c>
      <c r="D261" s="133" t="s">
        <v>315</v>
      </c>
      <c r="E261" s="116"/>
      <c r="F261" s="135">
        <v>0.126</v>
      </c>
      <c r="G261" s="118"/>
    </row>
    <row r="262">
      <c r="A262" s="132">
        <v>261.0</v>
      </c>
      <c r="B262" s="132" t="s">
        <v>275</v>
      </c>
      <c r="C262" s="133" t="s">
        <v>310</v>
      </c>
      <c r="D262" s="133" t="s">
        <v>62</v>
      </c>
      <c r="E262" s="116"/>
      <c r="F262" s="135">
        <v>0.126</v>
      </c>
      <c r="G262" s="118"/>
    </row>
    <row r="263">
      <c r="A263" s="132">
        <v>262.0</v>
      </c>
      <c r="B263" s="132" t="s">
        <v>275</v>
      </c>
      <c r="C263" s="133" t="s">
        <v>310</v>
      </c>
      <c r="D263" s="133" t="s">
        <v>316</v>
      </c>
      <c r="E263" s="116"/>
      <c r="F263" s="135">
        <v>0.126</v>
      </c>
      <c r="G263" s="118"/>
    </row>
    <row r="264">
      <c r="A264" s="132">
        <v>263.0</v>
      </c>
      <c r="B264" s="132" t="s">
        <v>275</v>
      </c>
      <c r="C264" s="133" t="s">
        <v>310</v>
      </c>
      <c r="D264" s="133" t="s">
        <v>317</v>
      </c>
      <c r="E264" s="116"/>
      <c r="F264" s="135">
        <v>0.126</v>
      </c>
      <c r="G264" s="118"/>
    </row>
    <row r="265">
      <c r="A265" s="132">
        <v>264.0</v>
      </c>
      <c r="B265" s="132" t="s">
        <v>275</v>
      </c>
      <c r="C265" s="133" t="s">
        <v>318</v>
      </c>
      <c r="D265" s="134"/>
      <c r="E265" s="116"/>
      <c r="F265" s="135">
        <v>0.126</v>
      </c>
      <c r="G265" s="118"/>
    </row>
    <row r="266">
      <c r="A266" s="132">
        <v>265.0</v>
      </c>
      <c r="B266" s="132" t="s">
        <v>319</v>
      </c>
      <c r="C266" s="133" t="s">
        <v>320</v>
      </c>
      <c r="D266" s="133" t="s">
        <v>321</v>
      </c>
      <c r="E266" s="116"/>
      <c r="F266" s="135">
        <v>0.145</v>
      </c>
      <c r="G266" s="118"/>
    </row>
    <row r="267">
      <c r="A267" s="132">
        <v>266.0</v>
      </c>
      <c r="B267" s="132" t="s">
        <v>319</v>
      </c>
      <c r="C267" s="133" t="s">
        <v>320</v>
      </c>
      <c r="D267" s="133" t="s">
        <v>322</v>
      </c>
      <c r="E267" s="116"/>
      <c r="F267" s="135">
        <v>0.145</v>
      </c>
      <c r="G267" s="118"/>
    </row>
    <row r="268">
      <c r="A268" s="132">
        <v>267.0</v>
      </c>
      <c r="B268" s="132" t="s">
        <v>319</v>
      </c>
      <c r="C268" s="133" t="s">
        <v>320</v>
      </c>
      <c r="D268" s="133" t="s">
        <v>323</v>
      </c>
      <c r="E268" s="116"/>
      <c r="F268" s="135">
        <v>0.145</v>
      </c>
      <c r="G268" s="118"/>
    </row>
    <row r="269">
      <c r="A269" s="132">
        <v>268.0</v>
      </c>
      <c r="B269" s="132" t="s">
        <v>319</v>
      </c>
      <c r="C269" s="133" t="s">
        <v>320</v>
      </c>
      <c r="D269" s="133" t="s">
        <v>324</v>
      </c>
      <c r="E269" s="116"/>
      <c r="F269" s="135">
        <v>0.145</v>
      </c>
      <c r="G269" s="118"/>
    </row>
    <row r="270">
      <c r="A270" s="132">
        <v>269.0</v>
      </c>
      <c r="B270" s="132" t="s">
        <v>319</v>
      </c>
      <c r="C270" s="133" t="s">
        <v>320</v>
      </c>
      <c r="D270" s="133" t="s">
        <v>325</v>
      </c>
      <c r="E270" s="116"/>
      <c r="F270" s="135">
        <v>0.145</v>
      </c>
      <c r="G270" s="118"/>
    </row>
    <row r="271">
      <c r="A271" s="132">
        <v>270.0</v>
      </c>
      <c r="B271" s="132" t="s">
        <v>319</v>
      </c>
      <c r="C271" s="133" t="s">
        <v>320</v>
      </c>
      <c r="D271" s="133" t="s">
        <v>326</v>
      </c>
      <c r="E271" s="116"/>
      <c r="F271" s="135">
        <v>0.145</v>
      </c>
      <c r="G271" s="118"/>
    </row>
    <row r="272">
      <c r="A272" s="132">
        <v>271.0</v>
      </c>
      <c r="B272" s="132" t="s">
        <v>319</v>
      </c>
      <c r="C272" s="133" t="s">
        <v>320</v>
      </c>
      <c r="D272" s="133" t="s">
        <v>327</v>
      </c>
      <c r="E272" s="116"/>
      <c r="F272" s="135">
        <v>0.145</v>
      </c>
      <c r="G272" s="118"/>
    </row>
    <row r="273">
      <c r="A273" s="132">
        <v>272.0</v>
      </c>
      <c r="B273" s="132" t="s">
        <v>319</v>
      </c>
      <c r="C273" s="133" t="s">
        <v>320</v>
      </c>
      <c r="D273" s="133" t="s">
        <v>328</v>
      </c>
      <c r="E273" s="116"/>
      <c r="F273" s="135">
        <v>0.145</v>
      </c>
      <c r="G273" s="118"/>
    </row>
    <row r="274">
      <c r="A274" s="132">
        <v>273.0</v>
      </c>
      <c r="B274" s="132" t="s">
        <v>319</v>
      </c>
      <c r="C274" s="133" t="s">
        <v>320</v>
      </c>
      <c r="D274" s="133" t="s">
        <v>62</v>
      </c>
      <c r="E274" s="116"/>
      <c r="F274" s="135">
        <v>0.145</v>
      </c>
      <c r="G274" s="118"/>
    </row>
    <row r="275">
      <c r="A275" s="132">
        <v>274.0</v>
      </c>
      <c r="B275" s="132" t="s">
        <v>319</v>
      </c>
      <c r="C275" s="133" t="s">
        <v>320</v>
      </c>
      <c r="D275" s="133" t="s">
        <v>329</v>
      </c>
      <c r="E275" s="116"/>
      <c r="F275" s="135">
        <v>0.145</v>
      </c>
      <c r="G275" s="118"/>
    </row>
    <row r="276">
      <c r="A276" s="132">
        <v>275.0</v>
      </c>
      <c r="B276" s="132" t="s">
        <v>319</v>
      </c>
      <c r="C276" s="133" t="s">
        <v>320</v>
      </c>
      <c r="D276" s="133" t="s">
        <v>330</v>
      </c>
      <c r="E276" s="116"/>
      <c r="F276" s="135">
        <v>0.145</v>
      </c>
      <c r="G276" s="118"/>
    </row>
    <row r="277">
      <c r="A277" s="132">
        <v>276.0</v>
      </c>
      <c r="B277" s="132" t="s">
        <v>319</v>
      </c>
      <c r="C277" s="133" t="s">
        <v>320</v>
      </c>
      <c r="D277" s="133" t="s">
        <v>331</v>
      </c>
      <c r="E277" s="116"/>
      <c r="F277" s="135">
        <v>0.145</v>
      </c>
      <c r="G277" s="118"/>
    </row>
    <row r="278">
      <c r="A278" s="132">
        <v>277.0</v>
      </c>
      <c r="B278" s="132" t="s">
        <v>319</v>
      </c>
      <c r="C278" s="133" t="s">
        <v>320</v>
      </c>
      <c r="D278" s="133" t="s">
        <v>332</v>
      </c>
      <c r="E278" s="116"/>
      <c r="F278" s="135">
        <v>0.145</v>
      </c>
      <c r="G278" s="118"/>
    </row>
    <row r="279">
      <c r="A279" s="132">
        <v>278.0</v>
      </c>
      <c r="B279" s="132" t="s">
        <v>319</v>
      </c>
      <c r="C279" s="133" t="s">
        <v>333</v>
      </c>
      <c r="D279" s="133" t="s">
        <v>334</v>
      </c>
      <c r="E279" s="116"/>
      <c r="F279" s="135">
        <v>0.145</v>
      </c>
      <c r="G279" s="118"/>
    </row>
    <row r="280">
      <c r="A280" s="132">
        <v>279.0</v>
      </c>
      <c r="B280" s="132" t="s">
        <v>319</v>
      </c>
      <c r="C280" s="133" t="s">
        <v>333</v>
      </c>
      <c r="D280" s="133" t="s">
        <v>335</v>
      </c>
      <c r="E280" s="116"/>
      <c r="F280" s="135">
        <v>0.145</v>
      </c>
      <c r="G280" s="118"/>
    </row>
    <row r="281">
      <c r="A281" s="132">
        <v>280.0</v>
      </c>
      <c r="B281" s="132" t="s">
        <v>319</v>
      </c>
      <c r="C281" s="133" t="s">
        <v>333</v>
      </c>
      <c r="D281" s="133" t="s">
        <v>336</v>
      </c>
      <c r="E281" s="116"/>
      <c r="F281" s="135">
        <v>0.145</v>
      </c>
      <c r="G281" s="118"/>
    </row>
    <row r="282">
      <c r="A282" s="132">
        <v>281.0</v>
      </c>
      <c r="B282" s="132" t="s">
        <v>319</v>
      </c>
      <c r="C282" s="133" t="s">
        <v>333</v>
      </c>
      <c r="D282" s="133" t="s">
        <v>62</v>
      </c>
      <c r="E282" s="116"/>
      <c r="F282" s="135">
        <v>0.145</v>
      </c>
      <c r="G282" s="118"/>
    </row>
    <row r="283">
      <c r="A283" s="132">
        <v>282.0</v>
      </c>
      <c r="B283" s="132" t="s">
        <v>319</v>
      </c>
      <c r="C283" s="133" t="s">
        <v>333</v>
      </c>
      <c r="D283" s="133" t="s">
        <v>337</v>
      </c>
      <c r="E283" s="116"/>
      <c r="F283" s="135">
        <v>0.145</v>
      </c>
      <c r="G283" s="118"/>
    </row>
    <row r="284">
      <c r="A284" s="132">
        <v>283.0</v>
      </c>
      <c r="B284" s="132" t="s">
        <v>319</v>
      </c>
      <c r="C284" s="133" t="s">
        <v>333</v>
      </c>
      <c r="D284" s="133" t="s">
        <v>338</v>
      </c>
      <c r="E284" s="116"/>
      <c r="F284" s="135">
        <v>0.145</v>
      </c>
      <c r="G284" s="118"/>
    </row>
    <row r="285">
      <c r="A285" s="132">
        <v>284.0</v>
      </c>
      <c r="B285" s="132" t="s">
        <v>319</v>
      </c>
      <c r="C285" s="133" t="s">
        <v>333</v>
      </c>
      <c r="D285" s="133" t="s">
        <v>339</v>
      </c>
      <c r="E285" s="116"/>
      <c r="F285" s="135">
        <v>0.145</v>
      </c>
      <c r="G285" s="118"/>
    </row>
    <row r="286">
      <c r="A286" s="132">
        <v>285.0</v>
      </c>
      <c r="B286" s="132" t="s">
        <v>319</v>
      </c>
      <c r="C286" s="133" t="s">
        <v>333</v>
      </c>
      <c r="D286" s="133" t="s">
        <v>340</v>
      </c>
      <c r="E286" s="116"/>
      <c r="F286" s="135">
        <v>0.145</v>
      </c>
      <c r="G286" s="118"/>
    </row>
    <row r="287">
      <c r="A287" s="132">
        <v>286.0</v>
      </c>
      <c r="B287" s="132" t="s">
        <v>319</v>
      </c>
      <c r="C287" s="133" t="s">
        <v>333</v>
      </c>
      <c r="D287" s="133" t="s">
        <v>341</v>
      </c>
      <c r="E287" s="116"/>
      <c r="F287" s="135">
        <v>0.145</v>
      </c>
      <c r="G287" s="118"/>
    </row>
    <row r="288">
      <c r="A288" s="132">
        <v>287.0</v>
      </c>
      <c r="B288" s="132" t="s">
        <v>319</v>
      </c>
      <c r="C288" s="133" t="s">
        <v>333</v>
      </c>
      <c r="D288" s="133" t="s">
        <v>342</v>
      </c>
      <c r="E288" s="116"/>
      <c r="F288" s="135">
        <v>0.145</v>
      </c>
      <c r="G288" s="118"/>
    </row>
    <row r="289">
      <c r="A289" s="132">
        <v>288.0</v>
      </c>
      <c r="B289" s="132" t="s">
        <v>319</v>
      </c>
      <c r="C289" s="133" t="s">
        <v>343</v>
      </c>
      <c r="D289" s="134"/>
      <c r="E289" s="116"/>
      <c r="F289" s="135">
        <v>0.145</v>
      </c>
      <c r="G289" s="118"/>
    </row>
    <row r="290">
      <c r="A290" s="132">
        <v>289.0</v>
      </c>
      <c r="B290" s="132" t="s">
        <v>319</v>
      </c>
      <c r="C290" s="133" t="s">
        <v>344</v>
      </c>
      <c r="D290" s="133" t="s">
        <v>345</v>
      </c>
      <c r="E290" s="116"/>
      <c r="F290" s="135">
        <v>0.145</v>
      </c>
      <c r="G290" s="118"/>
    </row>
    <row r="291">
      <c r="A291" s="132">
        <v>290.0</v>
      </c>
      <c r="B291" s="132" t="s">
        <v>319</v>
      </c>
      <c r="C291" s="133" t="s">
        <v>344</v>
      </c>
      <c r="D291" s="133" t="s">
        <v>346</v>
      </c>
      <c r="E291" s="116"/>
      <c r="F291" s="135">
        <v>0.145</v>
      </c>
      <c r="G291" s="118"/>
    </row>
    <row r="292">
      <c r="A292" s="132">
        <v>291.0</v>
      </c>
      <c r="B292" s="132" t="s">
        <v>319</v>
      </c>
      <c r="C292" s="133" t="s">
        <v>344</v>
      </c>
      <c r="D292" s="133" t="s">
        <v>62</v>
      </c>
      <c r="E292" s="116"/>
      <c r="F292" s="135">
        <v>0.145</v>
      </c>
      <c r="G292" s="118"/>
    </row>
    <row r="293">
      <c r="A293" s="132">
        <v>292.0</v>
      </c>
      <c r="B293" s="132" t="s">
        <v>319</v>
      </c>
      <c r="C293" s="133" t="s">
        <v>344</v>
      </c>
      <c r="D293" s="133" t="s">
        <v>347</v>
      </c>
      <c r="E293" s="116"/>
      <c r="F293" s="135">
        <v>0.145</v>
      </c>
      <c r="G293" s="118"/>
    </row>
    <row r="294">
      <c r="A294" s="132">
        <v>293.0</v>
      </c>
      <c r="B294" s="132" t="s">
        <v>319</v>
      </c>
      <c r="C294" s="133" t="s">
        <v>344</v>
      </c>
      <c r="D294" s="133" t="s">
        <v>339</v>
      </c>
      <c r="E294" s="116"/>
      <c r="F294" s="135">
        <v>0.145</v>
      </c>
      <c r="G294" s="118"/>
    </row>
    <row r="295">
      <c r="A295" s="132">
        <v>294.0</v>
      </c>
      <c r="B295" s="132" t="s">
        <v>319</v>
      </c>
      <c r="C295" s="133" t="s">
        <v>344</v>
      </c>
      <c r="D295" s="133" t="s">
        <v>348</v>
      </c>
      <c r="E295" s="116"/>
      <c r="F295" s="135">
        <v>0.145</v>
      </c>
      <c r="G295" s="118"/>
    </row>
    <row r="296">
      <c r="A296" s="132">
        <v>295.0</v>
      </c>
      <c r="B296" s="132" t="s">
        <v>319</v>
      </c>
      <c r="C296" s="133" t="s">
        <v>344</v>
      </c>
      <c r="D296" s="133" t="s">
        <v>340</v>
      </c>
      <c r="E296" s="116"/>
      <c r="F296" s="135">
        <v>0.145</v>
      </c>
      <c r="G296" s="118"/>
    </row>
    <row r="297">
      <c r="A297" s="132">
        <v>296.0</v>
      </c>
      <c r="B297" s="132" t="s">
        <v>319</v>
      </c>
      <c r="C297" s="133" t="s">
        <v>344</v>
      </c>
      <c r="D297" s="133" t="s">
        <v>341</v>
      </c>
      <c r="E297" s="116"/>
      <c r="F297" s="135">
        <v>0.145</v>
      </c>
      <c r="G297" s="118"/>
    </row>
    <row r="298">
      <c r="A298" s="132">
        <v>297.0</v>
      </c>
      <c r="B298" s="132" t="s">
        <v>319</v>
      </c>
      <c r="C298" s="133" t="s">
        <v>344</v>
      </c>
      <c r="D298" s="133" t="s">
        <v>349</v>
      </c>
      <c r="E298" s="116"/>
      <c r="F298" s="135">
        <v>0.145</v>
      </c>
      <c r="G298" s="118"/>
    </row>
    <row r="299">
      <c r="A299" s="132">
        <v>298.0</v>
      </c>
      <c r="B299" s="132" t="s">
        <v>319</v>
      </c>
      <c r="C299" s="133" t="s">
        <v>350</v>
      </c>
      <c r="D299" s="133" t="s">
        <v>351</v>
      </c>
      <c r="E299" s="116"/>
      <c r="F299" s="135">
        <v>0.145</v>
      </c>
      <c r="G299" s="118"/>
    </row>
    <row r="300">
      <c r="A300" s="132">
        <v>299.0</v>
      </c>
      <c r="B300" s="132" t="s">
        <v>319</v>
      </c>
      <c r="C300" s="133" t="s">
        <v>350</v>
      </c>
      <c r="D300" s="133" t="s">
        <v>352</v>
      </c>
      <c r="E300" s="116"/>
      <c r="F300" s="135">
        <v>0.145</v>
      </c>
      <c r="G300" s="118"/>
    </row>
    <row r="301">
      <c r="A301" s="132">
        <v>300.0</v>
      </c>
      <c r="B301" s="132" t="s">
        <v>319</v>
      </c>
      <c r="C301" s="133" t="s">
        <v>350</v>
      </c>
      <c r="D301" s="133" t="s">
        <v>353</v>
      </c>
      <c r="E301" s="116"/>
      <c r="F301" s="135">
        <v>0.145</v>
      </c>
      <c r="G301" s="118"/>
    </row>
    <row r="302">
      <c r="A302" s="132">
        <v>301.0</v>
      </c>
      <c r="B302" s="132" t="s">
        <v>319</v>
      </c>
      <c r="C302" s="133" t="s">
        <v>350</v>
      </c>
      <c r="D302" s="133" t="s">
        <v>354</v>
      </c>
      <c r="E302" s="116"/>
      <c r="F302" s="135">
        <v>0.145</v>
      </c>
      <c r="G302" s="118"/>
    </row>
    <row r="303">
      <c r="A303" s="132">
        <v>302.0</v>
      </c>
      <c r="B303" s="132" t="s">
        <v>319</v>
      </c>
      <c r="C303" s="133" t="s">
        <v>350</v>
      </c>
      <c r="D303" s="133" t="s">
        <v>62</v>
      </c>
      <c r="E303" s="116"/>
      <c r="F303" s="135">
        <v>0.145</v>
      </c>
      <c r="G303" s="118"/>
    </row>
    <row r="304">
      <c r="A304" s="132">
        <v>303.0</v>
      </c>
      <c r="B304" s="132" t="s">
        <v>319</v>
      </c>
      <c r="C304" s="133" t="s">
        <v>350</v>
      </c>
      <c r="D304" s="133" t="s">
        <v>355</v>
      </c>
      <c r="E304" s="116"/>
      <c r="F304" s="135">
        <v>0.145</v>
      </c>
      <c r="G304" s="118"/>
    </row>
    <row r="305">
      <c r="A305" s="132">
        <v>304.0</v>
      </c>
      <c r="B305" s="132" t="s">
        <v>319</v>
      </c>
      <c r="C305" s="133" t="s">
        <v>350</v>
      </c>
      <c r="D305" s="133" t="s">
        <v>356</v>
      </c>
      <c r="E305" s="116"/>
      <c r="F305" s="135">
        <v>0.145</v>
      </c>
      <c r="G305" s="118"/>
    </row>
    <row r="306">
      <c r="A306" s="132">
        <v>305.0</v>
      </c>
      <c r="B306" s="132" t="s">
        <v>319</v>
      </c>
      <c r="C306" s="133" t="s">
        <v>357</v>
      </c>
      <c r="D306" s="133" t="s">
        <v>345</v>
      </c>
      <c r="E306" s="116"/>
      <c r="F306" s="135">
        <v>0.145</v>
      </c>
      <c r="G306" s="118"/>
    </row>
    <row r="307">
      <c r="A307" s="132">
        <v>306.0</v>
      </c>
      <c r="B307" s="132" t="s">
        <v>319</v>
      </c>
      <c r="C307" s="133" t="s">
        <v>357</v>
      </c>
      <c r="D307" s="133" t="s">
        <v>346</v>
      </c>
      <c r="E307" s="116"/>
      <c r="F307" s="135">
        <v>0.145</v>
      </c>
      <c r="G307" s="118"/>
    </row>
    <row r="308">
      <c r="A308" s="132">
        <v>307.0</v>
      </c>
      <c r="B308" s="132" t="s">
        <v>319</v>
      </c>
      <c r="C308" s="133" t="s">
        <v>357</v>
      </c>
      <c r="D308" s="133" t="s">
        <v>336</v>
      </c>
      <c r="E308" s="116"/>
      <c r="F308" s="135">
        <v>0.145</v>
      </c>
      <c r="G308" s="118"/>
    </row>
    <row r="309">
      <c r="A309" s="132">
        <v>308.0</v>
      </c>
      <c r="B309" s="132" t="s">
        <v>319</v>
      </c>
      <c r="C309" s="133" t="s">
        <v>357</v>
      </c>
      <c r="D309" s="133" t="s">
        <v>62</v>
      </c>
      <c r="E309" s="116"/>
      <c r="F309" s="135">
        <v>0.145</v>
      </c>
      <c r="G309" s="118"/>
    </row>
    <row r="310">
      <c r="A310" s="132">
        <v>309.0</v>
      </c>
      <c r="B310" s="132" t="s">
        <v>319</v>
      </c>
      <c r="C310" s="133" t="s">
        <v>357</v>
      </c>
      <c r="D310" s="133" t="s">
        <v>347</v>
      </c>
      <c r="E310" s="116"/>
      <c r="F310" s="135">
        <v>0.145</v>
      </c>
      <c r="G310" s="118"/>
    </row>
    <row r="311">
      <c r="A311" s="132">
        <v>310.0</v>
      </c>
      <c r="B311" s="132" t="s">
        <v>319</v>
      </c>
      <c r="C311" s="133" t="s">
        <v>357</v>
      </c>
      <c r="D311" s="133" t="s">
        <v>358</v>
      </c>
      <c r="E311" s="116"/>
      <c r="F311" s="135">
        <v>0.145</v>
      </c>
      <c r="G311" s="118"/>
    </row>
    <row r="312">
      <c r="A312" s="132">
        <v>311.0</v>
      </c>
      <c r="B312" s="132" t="s">
        <v>319</v>
      </c>
      <c r="C312" s="133" t="s">
        <v>357</v>
      </c>
      <c r="D312" s="133" t="s">
        <v>339</v>
      </c>
      <c r="E312" s="116"/>
      <c r="F312" s="135">
        <v>0.145</v>
      </c>
      <c r="G312" s="118"/>
    </row>
    <row r="313">
      <c r="A313" s="132">
        <v>312.0</v>
      </c>
      <c r="B313" s="132" t="s">
        <v>319</v>
      </c>
      <c r="C313" s="133" t="s">
        <v>357</v>
      </c>
      <c r="D313" s="133" t="s">
        <v>348</v>
      </c>
      <c r="E313" s="116"/>
      <c r="F313" s="135">
        <v>0.145</v>
      </c>
      <c r="G313" s="118"/>
    </row>
    <row r="314">
      <c r="A314" s="132">
        <v>313.0</v>
      </c>
      <c r="B314" s="132" t="s">
        <v>319</v>
      </c>
      <c r="C314" s="133" t="s">
        <v>357</v>
      </c>
      <c r="D314" s="133" t="s">
        <v>340</v>
      </c>
      <c r="E314" s="116"/>
      <c r="F314" s="135">
        <v>0.145</v>
      </c>
      <c r="G314" s="118"/>
    </row>
    <row r="315">
      <c r="A315" s="132">
        <v>314.0</v>
      </c>
      <c r="B315" s="132" t="s">
        <v>319</v>
      </c>
      <c r="C315" s="133" t="s">
        <v>357</v>
      </c>
      <c r="D315" s="133" t="s">
        <v>341</v>
      </c>
      <c r="E315" s="116"/>
      <c r="F315" s="135">
        <v>0.145</v>
      </c>
      <c r="G315" s="118"/>
    </row>
    <row r="316">
      <c r="A316" s="132">
        <v>315.0</v>
      </c>
      <c r="B316" s="132" t="s">
        <v>319</v>
      </c>
      <c r="C316" s="133" t="s">
        <v>357</v>
      </c>
      <c r="D316" s="133" t="s">
        <v>349</v>
      </c>
      <c r="E316" s="116"/>
      <c r="F316" s="135">
        <v>0.145</v>
      </c>
      <c r="G316" s="118"/>
    </row>
    <row r="317">
      <c r="A317" s="132">
        <v>316.0</v>
      </c>
      <c r="B317" s="132" t="s">
        <v>319</v>
      </c>
      <c r="C317" s="133" t="s">
        <v>359</v>
      </c>
      <c r="D317" s="133" t="s">
        <v>351</v>
      </c>
      <c r="E317" s="116"/>
      <c r="F317" s="135">
        <v>0.145</v>
      </c>
      <c r="G317" s="118"/>
    </row>
    <row r="318">
      <c r="A318" s="132">
        <v>317.0</v>
      </c>
      <c r="B318" s="132" t="s">
        <v>319</v>
      </c>
      <c r="C318" s="133" t="s">
        <v>359</v>
      </c>
      <c r="D318" s="133" t="s">
        <v>360</v>
      </c>
      <c r="E318" s="116"/>
      <c r="F318" s="135">
        <v>0.145</v>
      </c>
      <c r="G318" s="118"/>
    </row>
    <row r="319">
      <c r="A319" s="132">
        <v>318.0</v>
      </c>
      <c r="B319" s="132" t="s">
        <v>319</v>
      </c>
      <c r="C319" s="133" t="s">
        <v>359</v>
      </c>
      <c r="D319" s="133" t="s">
        <v>352</v>
      </c>
      <c r="E319" s="116"/>
      <c r="F319" s="135">
        <v>0.145</v>
      </c>
      <c r="G319" s="118"/>
    </row>
    <row r="320">
      <c r="A320" s="132">
        <v>319.0</v>
      </c>
      <c r="B320" s="132" t="s">
        <v>319</v>
      </c>
      <c r="C320" s="133" t="s">
        <v>359</v>
      </c>
      <c r="D320" s="133" t="s">
        <v>354</v>
      </c>
      <c r="E320" s="116"/>
      <c r="F320" s="135">
        <v>0.145</v>
      </c>
      <c r="G320" s="118"/>
    </row>
    <row r="321">
      <c r="A321" s="132">
        <v>320.0</v>
      </c>
      <c r="B321" s="132" t="s">
        <v>319</v>
      </c>
      <c r="C321" s="133" t="s">
        <v>359</v>
      </c>
      <c r="D321" s="133" t="s">
        <v>62</v>
      </c>
      <c r="E321" s="116"/>
      <c r="F321" s="135">
        <v>0.145</v>
      </c>
      <c r="G321" s="118"/>
    </row>
    <row r="322">
      <c r="A322" s="132">
        <v>321.0</v>
      </c>
      <c r="B322" s="132" t="s">
        <v>319</v>
      </c>
      <c r="C322" s="133" t="s">
        <v>359</v>
      </c>
      <c r="D322" s="133" t="s">
        <v>355</v>
      </c>
      <c r="E322" s="116"/>
      <c r="F322" s="135">
        <v>0.145</v>
      </c>
      <c r="G322" s="118"/>
    </row>
    <row r="323">
      <c r="A323" s="132">
        <v>322.0</v>
      </c>
      <c r="B323" s="132" t="s">
        <v>319</v>
      </c>
      <c r="C323" s="133" t="s">
        <v>359</v>
      </c>
      <c r="D323" s="133" t="s">
        <v>356</v>
      </c>
      <c r="E323" s="116"/>
      <c r="F323" s="135">
        <v>0.145</v>
      </c>
      <c r="G323" s="118"/>
    </row>
    <row r="324">
      <c r="A324" s="132">
        <v>323.0</v>
      </c>
      <c r="B324" s="132" t="s">
        <v>319</v>
      </c>
      <c r="C324" s="133" t="s">
        <v>62</v>
      </c>
      <c r="D324" s="134"/>
      <c r="E324" s="116"/>
      <c r="F324" s="135">
        <v>0.145</v>
      </c>
      <c r="G324" s="118"/>
    </row>
    <row r="325">
      <c r="A325" s="132">
        <v>324.0</v>
      </c>
      <c r="B325" s="132" t="s">
        <v>361</v>
      </c>
      <c r="C325" s="133" t="s">
        <v>362</v>
      </c>
      <c r="D325" s="134"/>
      <c r="E325" s="116"/>
      <c r="F325" s="135">
        <v>0.145</v>
      </c>
      <c r="G325" s="118"/>
    </row>
    <row r="326">
      <c r="A326" s="132">
        <v>325.0</v>
      </c>
      <c r="B326" s="132" t="s">
        <v>361</v>
      </c>
      <c r="C326" s="133" t="s">
        <v>363</v>
      </c>
      <c r="D326" s="133" t="s">
        <v>364</v>
      </c>
      <c r="E326" s="116"/>
      <c r="F326" s="135">
        <v>0.145</v>
      </c>
      <c r="G326" s="118"/>
    </row>
    <row r="327">
      <c r="A327" s="132">
        <v>326.0</v>
      </c>
      <c r="B327" s="132" t="s">
        <v>361</v>
      </c>
      <c r="C327" s="133" t="s">
        <v>363</v>
      </c>
      <c r="D327" s="133" t="s">
        <v>365</v>
      </c>
      <c r="E327" s="116"/>
      <c r="F327" s="135">
        <v>0.145</v>
      </c>
      <c r="G327" s="118"/>
    </row>
    <row r="328">
      <c r="A328" s="132">
        <v>327.0</v>
      </c>
      <c r="B328" s="132" t="s">
        <v>361</v>
      </c>
      <c r="C328" s="133" t="s">
        <v>363</v>
      </c>
      <c r="D328" s="133" t="s">
        <v>366</v>
      </c>
      <c r="E328" s="116"/>
      <c r="F328" s="135">
        <v>0.145</v>
      </c>
      <c r="G328" s="118"/>
    </row>
    <row r="329">
      <c r="A329" s="132">
        <v>328.0</v>
      </c>
      <c r="B329" s="132" t="s">
        <v>361</v>
      </c>
      <c r="C329" s="133" t="s">
        <v>363</v>
      </c>
      <c r="D329" s="133" t="s">
        <v>367</v>
      </c>
      <c r="E329" s="116"/>
      <c r="F329" s="135">
        <v>0.145</v>
      </c>
      <c r="G329" s="118"/>
    </row>
    <row r="330">
      <c r="A330" s="132">
        <v>329.0</v>
      </c>
      <c r="B330" s="132" t="s">
        <v>361</v>
      </c>
      <c r="C330" s="133" t="s">
        <v>363</v>
      </c>
      <c r="D330" s="133" t="s">
        <v>368</v>
      </c>
      <c r="E330" s="116"/>
      <c r="F330" s="135">
        <v>0.145</v>
      </c>
      <c r="G330" s="118"/>
    </row>
    <row r="331">
      <c r="A331" s="132">
        <v>330.0</v>
      </c>
      <c r="B331" s="132" t="s">
        <v>361</v>
      </c>
      <c r="C331" s="133" t="s">
        <v>363</v>
      </c>
      <c r="D331" s="133" t="s">
        <v>62</v>
      </c>
      <c r="E331" s="116"/>
      <c r="F331" s="135">
        <v>0.145</v>
      </c>
      <c r="G331" s="118"/>
    </row>
    <row r="332">
      <c r="A332" s="132">
        <v>331.0</v>
      </c>
      <c r="B332" s="132" t="s">
        <v>361</v>
      </c>
      <c r="C332" s="133" t="s">
        <v>363</v>
      </c>
      <c r="D332" s="133" t="s">
        <v>369</v>
      </c>
      <c r="E332" s="116"/>
      <c r="F332" s="135">
        <v>0.145</v>
      </c>
      <c r="G332" s="118"/>
    </row>
    <row r="333">
      <c r="A333" s="132">
        <v>332.0</v>
      </c>
      <c r="B333" s="132" t="s">
        <v>361</v>
      </c>
      <c r="C333" s="133" t="s">
        <v>363</v>
      </c>
      <c r="D333" s="133" t="s">
        <v>370</v>
      </c>
      <c r="E333" s="116"/>
      <c r="F333" s="135">
        <v>0.145</v>
      </c>
      <c r="G333" s="118"/>
    </row>
    <row r="334">
      <c r="A334" s="132">
        <v>333.0</v>
      </c>
      <c r="B334" s="132" t="s">
        <v>361</v>
      </c>
      <c r="C334" s="133" t="s">
        <v>371</v>
      </c>
      <c r="D334" s="134"/>
      <c r="E334" s="116"/>
      <c r="F334" s="135">
        <v>0.145</v>
      </c>
      <c r="G334" s="118"/>
    </row>
    <row r="335">
      <c r="A335" s="132">
        <v>334.0</v>
      </c>
      <c r="B335" s="132" t="s">
        <v>361</v>
      </c>
      <c r="C335" s="133" t="s">
        <v>322</v>
      </c>
      <c r="D335" s="134"/>
      <c r="E335" s="116"/>
      <c r="F335" s="135">
        <v>0.145</v>
      </c>
      <c r="G335" s="118"/>
    </row>
    <row r="336">
      <c r="A336" s="132">
        <v>335.0</v>
      </c>
      <c r="B336" s="132" t="s">
        <v>361</v>
      </c>
      <c r="C336" s="133" t="s">
        <v>372</v>
      </c>
      <c r="D336" s="134"/>
      <c r="E336" s="116"/>
      <c r="F336" s="135">
        <v>0.145</v>
      </c>
      <c r="G336" s="118"/>
    </row>
    <row r="337">
      <c r="A337" s="132">
        <v>336.0</v>
      </c>
      <c r="B337" s="132" t="s">
        <v>361</v>
      </c>
      <c r="C337" s="133" t="s">
        <v>373</v>
      </c>
      <c r="D337" s="134"/>
      <c r="E337" s="116"/>
      <c r="F337" s="135">
        <v>0.145</v>
      </c>
      <c r="G337" s="118"/>
    </row>
    <row r="338">
      <c r="A338" s="132">
        <v>337.0</v>
      </c>
      <c r="B338" s="132" t="s">
        <v>361</v>
      </c>
      <c r="C338" s="133" t="s">
        <v>374</v>
      </c>
      <c r="D338" s="133" t="s">
        <v>375</v>
      </c>
      <c r="E338" s="116"/>
      <c r="F338" s="135">
        <v>0.145</v>
      </c>
      <c r="G338" s="118"/>
    </row>
    <row r="339">
      <c r="A339" s="132">
        <v>338.0</v>
      </c>
      <c r="B339" s="132" t="s">
        <v>361</v>
      </c>
      <c r="C339" s="133" t="s">
        <v>374</v>
      </c>
      <c r="D339" s="133" t="s">
        <v>376</v>
      </c>
      <c r="E339" s="116"/>
      <c r="F339" s="135">
        <v>0.145</v>
      </c>
      <c r="G339" s="118"/>
    </row>
    <row r="340">
      <c r="A340" s="132">
        <v>339.0</v>
      </c>
      <c r="B340" s="132" t="s">
        <v>361</v>
      </c>
      <c r="C340" s="133" t="s">
        <v>374</v>
      </c>
      <c r="D340" s="133" t="s">
        <v>62</v>
      </c>
      <c r="E340" s="116"/>
      <c r="F340" s="135">
        <v>0.145</v>
      </c>
      <c r="G340" s="118"/>
    </row>
    <row r="341">
      <c r="A341" s="132">
        <v>340.0</v>
      </c>
      <c r="B341" s="132" t="s">
        <v>361</v>
      </c>
      <c r="C341" s="133" t="s">
        <v>374</v>
      </c>
      <c r="D341" s="133" t="s">
        <v>377</v>
      </c>
      <c r="E341" s="116"/>
      <c r="F341" s="135">
        <v>0.145</v>
      </c>
      <c r="G341" s="118"/>
    </row>
    <row r="342">
      <c r="A342" s="132">
        <v>341.0</v>
      </c>
      <c r="B342" s="132" t="s">
        <v>361</v>
      </c>
      <c r="C342" s="133" t="s">
        <v>378</v>
      </c>
      <c r="D342" s="133" t="s">
        <v>379</v>
      </c>
      <c r="E342" s="116"/>
      <c r="F342" s="135">
        <v>0.085</v>
      </c>
      <c r="G342" s="118"/>
    </row>
    <row r="343">
      <c r="A343" s="132">
        <v>342.0</v>
      </c>
      <c r="B343" s="132" t="s">
        <v>361</v>
      </c>
      <c r="C343" s="133" t="s">
        <v>378</v>
      </c>
      <c r="D343" s="133" t="s">
        <v>380</v>
      </c>
      <c r="E343" s="116"/>
      <c r="F343" s="135">
        <v>0.085</v>
      </c>
      <c r="G343" s="118"/>
    </row>
    <row r="344">
      <c r="A344" s="132">
        <v>343.0</v>
      </c>
      <c r="B344" s="132" t="s">
        <v>361</v>
      </c>
      <c r="C344" s="133" t="s">
        <v>378</v>
      </c>
      <c r="D344" s="133" t="s">
        <v>381</v>
      </c>
      <c r="E344" s="116"/>
      <c r="F344" s="135">
        <v>0.085</v>
      </c>
      <c r="G344" s="118"/>
    </row>
    <row r="345">
      <c r="A345" s="132">
        <v>344.0</v>
      </c>
      <c r="B345" s="132" t="s">
        <v>361</v>
      </c>
      <c r="C345" s="133" t="s">
        <v>378</v>
      </c>
      <c r="D345" s="133" t="s">
        <v>382</v>
      </c>
      <c r="E345" s="116"/>
      <c r="F345" s="135">
        <v>0.085</v>
      </c>
      <c r="G345" s="118"/>
    </row>
    <row r="346">
      <c r="A346" s="132">
        <v>345.0</v>
      </c>
      <c r="B346" s="132" t="s">
        <v>361</v>
      </c>
      <c r="C346" s="133" t="s">
        <v>378</v>
      </c>
      <c r="D346" s="133" t="s">
        <v>383</v>
      </c>
      <c r="E346" s="116"/>
      <c r="F346" s="135">
        <v>0.085</v>
      </c>
      <c r="G346" s="118"/>
    </row>
    <row r="347">
      <c r="A347" s="132">
        <v>346.0</v>
      </c>
      <c r="B347" s="132" t="s">
        <v>361</v>
      </c>
      <c r="C347" s="133" t="s">
        <v>378</v>
      </c>
      <c r="D347" s="133" t="s">
        <v>384</v>
      </c>
      <c r="E347" s="116"/>
      <c r="F347" s="135">
        <v>0.085</v>
      </c>
      <c r="G347" s="118"/>
    </row>
    <row r="348">
      <c r="A348" s="132">
        <v>347.0</v>
      </c>
      <c r="B348" s="132" t="s">
        <v>361</v>
      </c>
      <c r="C348" s="133" t="s">
        <v>378</v>
      </c>
      <c r="D348" s="133" t="s">
        <v>385</v>
      </c>
      <c r="E348" s="116"/>
      <c r="F348" s="135">
        <v>0.085</v>
      </c>
      <c r="G348" s="118"/>
    </row>
    <row r="349">
      <c r="A349" s="132">
        <v>348.0</v>
      </c>
      <c r="B349" s="132" t="s">
        <v>361</v>
      </c>
      <c r="C349" s="133" t="s">
        <v>378</v>
      </c>
      <c r="D349" s="133" t="s">
        <v>386</v>
      </c>
      <c r="E349" s="116"/>
      <c r="F349" s="135">
        <v>0.085</v>
      </c>
      <c r="G349" s="118"/>
    </row>
    <row r="350">
      <c r="A350" s="132">
        <v>349.0</v>
      </c>
      <c r="B350" s="132" t="s">
        <v>361</v>
      </c>
      <c r="C350" s="133" t="s">
        <v>378</v>
      </c>
      <c r="D350" s="133" t="s">
        <v>387</v>
      </c>
      <c r="E350" s="116"/>
      <c r="F350" s="135">
        <v>0.085</v>
      </c>
      <c r="G350" s="118"/>
    </row>
    <row r="351">
      <c r="A351" s="132">
        <v>350.0</v>
      </c>
      <c r="B351" s="132" t="s">
        <v>361</v>
      </c>
      <c r="C351" s="133" t="s">
        <v>325</v>
      </c>
      <c r="D351" s="134"/>
      <c r="E351" s="116"/>
      <c r="F351" s="135">
        <v>0.145</v>
      </c>
      <c r="G351" s="118"/>
    </row>
    <row r="352">
      <c r="A352" s="132">
        <v>351.0</v>
      </c>
      <c r="B352" s="132" t="s">
        <v>361</v>
      </c>
      <c r="C352" s="133" t="s">
        <v>326</v>
      </c>
      <c r="D352" s="133" t="s">
        <v>388</v>
      </c>
      <c r="E352" s="116"/>
      <c r="F352" s="135">
        <v>0.145</v>
      </c>
      <c r="G352" s="118"/>
    </row>
    <row r="353">
      <c r="A353" s="132">
        <v>352.0</v>
      </c>
      <c r="B353" s="132" t="s">
        <v>361</v>
      </c>
      <c r="C353" s="133" t="s">
        <v>326</v>
      </c>
      <c r="D353" s="133" t="s">
        <v>389</v>
      </c>
      <c r="E353" s="116"/>
      <c r="F353" s="135">
        <v>0.145</v>
      </c>
      <c r="G353" s="118"/>
    </row>
    <row r="354">
      <c r="A354" s="132">
        <v>353.0</v>
      </c>
      <c r="B354" s="132" t="s">
        <v>361</v>
      </c>
      <c r="C354" s="133" t="s">
        <v>326</v>
      </c>
      <c r="D354" s="133" t="s">
        <v>390</v>
      </c>
      <c r="E354" s="116"/>
      <c r="F354" s="135">
        <v>0.145</v>
      </c>
      <c r="G354" s="118"/>
    </row>
    <row r="355">
      <c r="A355" s="132">
        <v>354.0</v>
      </c>
      <c r="B355" s="132" t="s">
        <v>361</v>
      </c>
      <c r="C355" s="133" t="s">
        <v>326</v>
      </c>
      <c r="D355" s="133" t="s">
        <v>391</v>
      </c>
      <c r="E355" s="116"/>
      <c r="F355" s="135">
        <v>0.145</v>
      </c>
      <c r="G355" s="118"/>
    </row>
    <row r="356">
      <c r="A356" s="132">
        <v>355.0</v>
      </c>
      <c r="B356" s="132" t="s">
        <v>361</v>
      </c>
      <c r="C356" s="133" t="s">
        <v>326</v>
      </c>
      <c r="D356" s="133" t="s">
        <v>62</v>
      </c>
      <c r="E356" s="116"/>
      <c r="F356" s="135">
        <v>0.145</v>
      </c>
      <c r="G356" s="118"/>
    </row>
    <row r="357">
      <c r="A357" s="132">
        <v>356.0</v>
      </c>
      <c r="B357" s="132" t="s">
        <v>361</v>
      </c>
      <c r="C357" s="133" t="s">
        <v>326</v>
      </c>
      <c r="D357" s="133" t="s">
        <v>392</v>
      </c>
      <c r="E357" s="116"/>
      <c r="F357" s="135">
        <v>0.145</v>
      </c>
      <c r="G357" s="118"/>
    </row>
    <row r="358">
      <c r="A358" s="132">
        <v>357.0</v>
      </c>
      <c r="B358" s="132" t="s">
        <v>361</v>
      </c>
      <c r="C358" s="133" t="s">
        <v>393</v>
      </c>
      <c r="D358" s="134"/>
      <c r="E358" s="116"/>
      <c r="F358" s="135">
        <v>0.145</v>
      </c>
      <c r="G358" s="118"/>
    </row>
    <row r="359">
      <c r="A359" s="132">
        <v>358.0</v>
      </c>
      <c r="B359" s="132" t="s">
        <v>361</v>
      </c>
      <c r="C359" s="133" t="s">
        <v>394</v>
      </c>
      <c r="D359" s="133" t="s">
        <v>395</v>
      </c>
      <c r="E359" s="116"/>
      <c r="F359" s="135">
        <v>0.085</v>
      </c>
      <c r="G359" s="118"/>
    </row>
    <row r="360">
      <c r="A360" s="132">
        <v>359.0</v>
      </c>
      <c r="B360" s="132" t="s">
        <v>361</v>
      </c>
      <c r="C360" s="133" t="s">
        <v>394</v>
      </c>
      <c r="D360" s="133" t="s">
        <v>396</v>
      </c>
      <c r="E360" s="116"/>
      <c r="F360" s="135">
        <v>0.085</v>
      </c>
      <c r="G360" s="118"/>
    </row>
    <row r="361">
      <c r="A361" s="132">
        <v>360.0</v>
      </c>
      <c r="B361" s="132" t="s">
        <v>361</v>
      </c>
      <c r="C361" s="133" t="s">
        <v>394</v>
      </c>
      <c r="D361" s="133" t="s">
        <v>62</v>
      </c>
      <c r="E361" s="116"/>
      <c r="F361" s="135">
        <v>0.085</v>
      </c>
      <c r="G361" s="118"/>
    </row>
    <row r="362">
      <c r="A362" s="132">
        <v>361.0</v>
      </c>
      <c r="B362" s="132" t="s">
        <v>361</v>
      </c>
      <c r="C362" s="133" t="s">
        <v>394</v>
      </c>
      <c r="D362" s="133" t="s">
        <v>397</v>
      </c>
      <c r="E362" s="116"/>
      <c r="F362" s="135">
        <v>0.085</v>
      </c>
      <c r="G362" s="118"/>
    </row>
    <row r="363">
      <c r="A363" s="132">
        <v>362.0</v>
      </c>
      <c r="B363" s="132" t="s">
        <v>361</v>
      </c>
      <c r="C363" s="133" t="s">
        <v>394</v>
      </c>
      <c r="D363" s="133" t="s">
        <v>398</v>
      </c>
      <c r="E363" s="116"/>
      <c r="F363" s="135">
        <v>0.145</v>
      </c>
      <c r="G363" s="118"/>
    </row>
    <row r="364">
      <c r="A364" s="132">
        <v>363.0</v>
      </c>
      <c r="B364" s="132" t="s">
        <v>361</v>
      </c>
      <c r="C364" s="133" t="s">
        <v>399</v>
      </c>
      <c r="D364" s="134"/>
      <c r="E364" s="116"/>
      <c r="F364" s="135">
        <v>0.145</v>
      </c>
      <c r="G364" s="118"/>
    </row>
    <row r="365">
      <c r="A365" s="132">
        <v>364.0</v>
      </c>
      <c r="B365" s="132" t="s">
        <v>361</v>
      </c>
      <c r="C365" s="133" t="s">
        <v>400</v>
      </c>
      <c r="D365" s="134"/>
      <c r="E365" s="116"/>
      <c r="F365" s="135">
        <v>0.145</v>
      </c>
      <c r="G365" s="118"/>
    </row>
    <row r="366">
      <c r="A366" s="132">
        <v>365.0</v>
      </c>
      <c r="B366" s="132" t="s">
        <v>361</v>
      </c>
      <c r="C366" s="133" t="s">
        <v>62</v>
      </c>
      <c r="D366" s="134"/>
      <c r="E366" s="116"/>
      <c r="F366" s="135">
        <v>0.145</v>
      </c>
      <c r="G366" s="118"/>
    </row>
    <row r="367">
      <c r="A367" s="132">
        <v>366.0</v>
      </c>
      <c r="B367" s="132" t="s">
        <v>361</v>
      </c>
      <c r="C367" s="133" t="s">
        <v>401</v>
      </c>
      <c r="D367" s="134"/>
      <c r="E367" s="116"/>
      <c r="F367" s="135">
        <v>0.145</v>
      </c>
      <c r="G367" s="118"/>
    </row>
    <row r="368">
      <c r="A368" s="132">
        <v>367.0</v>
      </c>
      <c r="B368" s="132" t="s">
        <v>361</v>
      </c>
      <c r="C368" s="133" t="s">
        <v>402</v>
      </c>
      <c r="D368" s="134"/>
      <c r="E368" s="116"/>
      <c r="F368" s="135">
        <v>0.145</v>
      </c>
      <c r="G368" s="118"/>
    </row>
    <row r="369">
      <c r="A369" s="132">
        <v>368.0</v>
      </c>
      <c r="B369" s="132" t="s">
        <v>403</v>
      </c>
      <c r="C369" s="133" t="s">
        <v>404</v>
      </c>
      <c r="D369" s="134"/>
      <c r="E369" s="116"/>
      <c r="F369" s="135">
        <v>0.145</v>
      </c>
      <c r="G369" s="118"/>
    </row>
    <row r="370">
      <c r="A370" s="132">
        <v>369.0</v>
      </c>
      <c r="B370" s="132" t="s">
        <v>403</v>
      </c>
      <c r="C370" s="133" t="s">
        <v>405</v>
      </c>
      <c r="D370" s="134"/>
      <c r="E370" s="116"/>
      <c r="F370" s="135">
        <v>0.145</v>
      </c>
      <c r="G370" s="118"/>
    </row>
    <row r="371">
      <c r="A371" s="132">
        <v>370.0</v>
      </c>
      <c r="B371" s="132" t="s">
        <v>403</v>
      </c>
      <c r="C371" s="133" t="s">
        <v>406</v>
      </c>
      <c r="D371" s="134"/>
      <c r="E371" s="116"/>
      <c r="F371" s="135">
        <v>0.126</v>
      </c>
      <c r="G371" s="118"/>
    </row>
    <row r="372">
      <c r="A372" s="132">
        <v>371.0</v>
      </c>
      <c r="B372" s="132" t="s">
        <v>403</v>
      </c>
      <c r="C372" s="133" t="s">
        <v>407</v>
      </c>
      <c r="D372" s="134"/>
      <c r="E372" s="116"/>
      <c r="F372" s="135">
        <v>0.145</v>
      </c>
      <c r="G372" s="118"/>
    </row>
    <row r="373">
      <c r="A373" s="132">
        <v>372.0</v>
      </c>
      <c r="B373" s="132" t="s">
        <v>403</v>
      </c>
      <c r="C373" s="133" t="s">
        <v>408</v>
      </c>
      <c r="D373" s="133" t="s">
        <v>409</v>
      </c>
      <c r="E373" s="116"/>
      <c r="F373" s="135">
        <v>0.145</v>
      </c>
      <c r="G373" s="118"/>
    </row>
    <row r="374">
      <c r="A374" s="132">
        <v>373.0</v>
      </c>
      <c r="B374" s="132" t="s">
        <v>403</v>
      </c>
      <c r="C374" s="133" t="s">
        <v>408</v>
      </c>
      <c r="D374" s="133" t="s">
        <v>410</v>
      </c>
      <c r="E374" s="116"/>
      <c r="F374" s="135">
        <v>0.145</v>
      </c>
      <c r="G374" s="118"/>
    </row>
    <row r="375">
      <c r="A375" s="132">
        <v>374.0</v>
      </c>
      <c r="B375" s="132" t="s">
        <v>403</v>
      </c>
      <c r="C375" s="133" t="s">
        <v>408</v>
      </c>
      <c r="D375" s="133" t="s">
        <v>411</v>
      </c>
      <c r="E375" s="116"/>
      <c r="F375" s="135">
        <v>0.145</v>
      </c>
      <c r="G375" s="118"/>
    </row>
    <row r="376">
      <c r="A376" s="132">
        <v>375.0</v>
      </c>
      <c r="B376" s="132" t="s">
        <v>403</v>
      </c>
      <c r="C376" s="133" t="s">
        <v>408</v>
      </c>
      <c r="D376" s="133" t="s">
        <v>62</v>
      </c>
      <c r="E376" s="116"/>
      <c r="F376" s="135">
        <v>0.145</v>
      </c>
      <c r="G376" s="118"/>
    </row>
    <row r="377">
      <c r="A377" s="132">
        <v>376.0</v>
      </c>
      <c r="B377" s="132" t="s">
        <v>403</v>
      </c>
      <c r="C377" s="133" t="s">
        <v>62</v>
      </c>
      <c r="D377" s="134"/>
      <c r="E377" s="116"/>
      <c r="F377" s="135">
        <v>0.145</v>
      </c>
      <c r="G377" s="118"/>
    </row>
    <row r="378">
      <c r="A378" s="132">
        <v>377.0</v>
      </c>
      <c r="B378" s="132" t="s">
        <v>403</v>
      </c>
      <c r="C378" s="133" t="s">
        <v>412</v>
      </c>
      <c r="D378" s="134"/>
      <c r="E378" s="116"/>
      <c r="F378" s="135">
        <v>0.126</v>
      </c>
      <c r="G378" s="118"/>
    </row>
    <row r="379">
      <c r="A379" s="132">
        <v>378.0</v>
      </c>
      <c r="B379" s="132" t="s">
        <v>403</v>
      </c>
      <c r="C379" s="133" t="s">
        <v>413</v>
      </c>
      <c r="D379" s="134"/>
      <c r="E379" s="116"/>
      <c r="F379" s="135">
        <v>0.145</v>
      </c>
      <c r="G379" s="118"/>
    </row>
    <row r="380">
      <c r="A380" s="132">
        <v>379.0</v>
      </c>
      <c r="B380" s="132" t="s">
        <v>403</v>
      </c>
      <c r="C380" s="133" t="s">
        <v>414</v>
      </c>
      <c r="D380" s="133" t="s">
        <v>415</v>
      </c>
      <c r="E380" s="116"/>
      <c r="F380" s="135">
        <v>0.145</v>
      </c>
      <c r="G380" s="118"/>
    </row>
    <row r="381">
      <c r="A381" s="132">
        <v>380.0</v>
      </c>
      <c r="B381" s="132" t="s">
        <v>403</v>
      </c>
      <c r="C381" s="133" t="s">
        <v>414</v>
      </c>
      <c r="D381" s="133" t="s">
        <v>416</v>
      </c>
      <c r="E381" s="116"/>
      <c r="F381" s="135">
        <v>0.145</v>
      </c>
      <c r="G381" s="118"/>
    </row>
    <row r="382">
      <c r="A382" s="132">
        <v>381.0</v>
      </c>
      <c r="B382" s="132" t="s">
        <v>403</v>
      </c>
      <c r="C382" s="133" t="s">
        <v>414</v>
      </c>
      <c r="D382" s="133" t="s">
        <v>417</v>
      </c>
      <c r="E382" s="116"/>
      <c r="F382" s="135">
        <v>0.126</v>
      </c>
      <c r="G382" s="118"/>
    </row>
    <row r="383">
      <c r="A383" s="132">
        <v>382.0</v>
      </c>
      <c r="B383" s="132" t="s">
        <v>403</v>
      </c>
      <c r="C383" s="133" t="s">
        <v>414</v>
      </c>
      <c r="D383" s="133" t="s">
        <v>418</v>
      </c>
      <c r="E383" s="116"/>
      <c r="F383" s="135">
        <v>0.145</v>
      </c>
      <c r="G383" s="118"/>
    </row>
    <row r="384">
      <c r="A384" s="132">
        <v>383.0</v>
      </c>
      <c r="B384" s="132" t="s">
        <v>403</v>
      </c>
      <c r="C384" s="133" t="s">
        <v>414</v>
      </c>
      <c r="D384" s="133" t="s">
        <v>419</v>
      </c>
      <c r="E384" s="116"/>
      <c r="F384" s="135">
        <v>0.126</v>
      </c>
      <c r="G384" s="118"/>
    </row>
    <row r="385">
      <c r="A385" s="132">
        <v>384.0</v>
      </c>
      <c r="B385" s="132" t="s">
        <v>403</v>
      </c>
      <c r="C385" s="133" t="s">
        <v>414</v>
      </c>
      <c r="D385" s="133" t="s">
        <v>420</v>
      </c>
      <c r="E385" s="116"/>
      <c r="F385" s="135">
        <v>0.145</v>
      </c>
      <c r="G385" s="118"/>
    </row>
    <row r="386">
      <c r="A386" s="132">
        <v>385.0</v>
      </c>
      <c r="B386" s="132" t="s">
        <v>421</v>
      </c>
      <c r="C386" s="133" t="s">
        <v>346</v>
      </c>
      <c r="D386" s="134"/>
      <c r="E386" s="116"/>
      <c r="F386" s="135">
        <v>0.145</v>
      </c>
      <c r="G386" s="118"/>
    </row>
    <row r="387">
      <c r="A387" s="132">
        <v>386.0</v>
      </c>
      <c r="B387" s="132" t="s">
        <v>421</v>
      </c>
      <c r="C387" s="133" t="s">
        <v>422</v>
      </c>
      <c r="D387" s="133" t="s">
        <v>423</v>
      </c>
      <c r="E387" s="116"/>
      <c r="F387" s="135">
        <v>0.145</v>
      </c>
      <c r="G387" s="118"/>
    </row>
    <row r="388">
      <c r="A388" s="132">
        <v>387.0</v>
      </c>
      <c r="B388" s="132" t="s">
        <v>421</v>
      </c>
      <c r="C388" s="133" t="s">
        <v>422</v>
      </c>
      <c r="D388" s="133" t="s">
        <v>62</v>
      </c>
      <c r="E388" s="116"/>
      <c r="F388" s="135">
        <v>0.145</v>
      </c>
      <c r="G388" s="118"/>
    </row>
    <row r="389">
      <c r="A389" s="132">
        <v>388.0</v>
      </c>
      <c r="B389" s="132" t="s">
        <v>421</v>
      </c>
      <c r="C389" s="133" t="s">
        <v>422</v>
      </c>
      <c r="D389" s="133" t="s">
        <v>424</v>
      </c>
      <c r="E389" s="116"/>
      <c r="F389" s="135">
        <v>0.145</v>
      </c>
      <c r="G389" s="118"/>
    </row>
    <row r="390">
      <c r="A390" s="132">
        <v>389.0</v>
      </c>
      <c r="B390" s="132" t="s">
        <v>421</v>
      </c>
      <c r="C390" s="133" t="s">
        <v>349</v>
      </c>
      <c r="D390" s="133" t="s">
        <v>62</v>
      </c>
      <c r="E390" s="116"/>
      <c r="F390" s="135">
        <v>0.145</v>
      </c>
      <c r="G390" s="118"/>
    </row>
    <row r="391">
      <c r="A391" s="132">
        <v>390.0</v>
      </c>
      <c r="B391" s="132" t="s">
        <v>421</v>
      </c>
      <c r="C391" s="133" t="s">
        <v>349</v>
      </c>
      <c r="D391" s="133" t="s">
        <v>425</v>
      </c>
      <c r="E391" s="116"/>
      <c r="F391" s="135">
        <v>0.145</v>
      </c>
      <c r="G391" s="118"/>
    </row>
    <row r="392">
      <c r="A392" s="132">
        <v>391.0</v>
      </c>
      <c r="B392" s="132" t="s">
        <v>421</v>
      </c>
      <c r="C392" s="133" t="s">
        <v>349</v>
      </c>
      <c r="D392" s="133" t="s">
        <v>426</v>
      </c>
      <c r="E392" s="116"/>
      <c r="F392" s="135">
        <v>0.145</v>
      </c>
      <c r="G392" s="118"/>
    </row>
    <row r="393">
      <c r="A393" s="132">
        <v>392.0</v>
      </c>
      <c r="B393" s="132" t="s">
        <v>421</v>
      </c>
      <c r="C393" s="133" t="s">
        <v>349</v>
      </c>
      <c r="D393" s="133" t="s">
        <v>427</v>
      </c>
      <c r="E393" s="116"/>
      <c r="F393" s="135">
        <v>0.145</v>
      </c>
      <c r="G393" s="118"/>
    </row>
    <row r="394">
      <c r="A394" s="132">
        <v>393.0</v>
      </c>
      <c r="B394" s="132" t="s">
        <v>421</v>
      </c>
      <c r="C394" s="133" t="s">
        <v>349</v>
      </c>
      <c r="D394" s="133" t="s">
        <v>428</v>
      </c>
      <c r="E394" s="116"/>
      <c r="F394" s="135">
        <v>0.145</v>
      </c>
      <c r="G394" s="118"/>
    </row>
    <row r="395">
      <c r="A395" s="132">
        <v>394.0</v>
      </c>
      <c r="B395" s="132" t="s">
        <v>421</v>
      </c>
      <c r="C395" s="133" t="s">
        <v>347</v>
      </c>
      <c r="D395" s="133" t="s">
        <v>347</v>
      </c>
      <c r="E395" s="116"/>
      <c r="F395" s="135">
        <v>0.145</v>
      </c>
      <c r="G395" s="118"/>
    </row>
    <row r="396">
      <c r="A396" s="132">
        <v>395.0</v>
      </c>
      <c r="B396" s="132" t="s">
        <v>421</v>
      </c>
      <c r="C396" s="133" t="s">
        <v>347</v>
      </c>
      <c r="D396" s="133" t="s">
        <v>62</v>
      </c>
      <c r="E396" s="116"/>
      <c r="F396" s="135">
        <v>0.145</v>
      </c>
      <c r="G396" s="118"/>
    </row>
    <row r="397">
      <c r="A397" s="132">
        <v>396.0</v>
      </c>
      <c r="B397" s="132" t="s">
        <v>421</v>
      </c>
      <c r="C397" s="133" t="s">
        <v>347</v>
      </c>
      <c r="D397" s="133" t="s">
        <v>429</v>
      </c>
      <c r="E397" s="116"/>
      <c r="F397" s="135">
        <v>0.145</v>
      </c>
      <c r="G397" s="118"/>
    </row>
    <row r="398">
      <c r="A398" s="132">
        <v>397.0</v>
      </c>
      <c r="B398" s="132" t="s">
        <v>421</v>
      </c>
      <c r="C398" s="133" t="s">
        <v>347</v>
      </c>
      <c r="D398" s="133" t="s">
        <v>430</v>
      </c>
      <c r="E398" s="116"/>
      <c r="F398" s="135">
        <v>0.145</v>
      </c>
      <c r="G398" s="118"/>
    </row>
    <row r="399">
      <c r="A399" s="132">
        <v>398.0</v>
      </c>
      <c r="B399" s="132" t="s">
        <v>421</v>
      </c>
      <c r="C399" s="133" t="s">
        <v>431</v>
      </c>
      <c r="D399" s="134"/>
      <c r="E399" s="116"/>
      <c r="F399" s="135">
        <v>0.145</v>
      </c>
      <c r="G399" s="118"/>
    </row>
    <row r="400">
      <c r="A400" s="132">
        <v>399.0</v>
      </c>
      <c r="B400" s="132" t="s">
        <v>421</v>
      </c>
      <c r="C400" s="133" t="s">
        <v>432</v>
      </c>
      <c r="D400" s="134"/>
      <c r="E400" s="116"/>
      <c r="F400" s="135">
        <v>0.145</v>
      </c>
      <c r="G400" s="118"/>
    </row>
    <row r="401">
      <c r="A401" s="132">
        <v>400.0</v>
      </c>
      <c r="B401" s="132" t="s">
        <v>421</v>
      </c>
      <c r="C401" s="133" t="s">
        <v>62</v>
      </c>
      <c r="D401" s="134"/>
      <c r="E401" s="116"/>
      <c r="F401" s="135">
        <v>0.145</v>
      </c>
      <c r="G401" s="118"/>
    </row>
    <row r="402">
      <c r="A402" s="132">
        <v>401.0</v>
      </c>
      <c r="B402" s="132" t="s">
        <v>421</v>
      </c>
      <c r="C402" s="133" t="s">
        <v>433</v>
      </c>
      <c r="D402" s="133" t="s">
        <v>434</v>
      </c>
      <c r="E402" s="116"/>
      <c r="F402" s="135">
        <v>0.145</v>
      </c>
      <c r="G402" s="118"/>
    </row>
    <row r="403">
      <c r="A403" s="132">
        <v>402.0</v>
      </c>
      <c r="B403" s="132" t="s">
        <v>421</v>
      </c>
      <c r="C403" s="133" t="s">
        <v>433</v>
      </c>
      <c r="D403" s="133" t="s">
        <v>435</v>
      </c>
      <c r="E403" s="116"/>
      <c r="F403" s="135">
        <v>0.145</v>
      </c>
      <c r="G403" s="118"/>
    </row>
    <row r="404">
      <c r="A404" s="132">
        <v>403.0</v>
      </c>
      <c r="B404" s="132" t="s">
        <v>421</v>
      </c>
      <c r="C404" s="133" t="s">
        <v>433</v>
      </c>
      <c r="D404" s="133" t="s">
        <v>62</v>
      </c>
      <c r="E404" s="116"/>
      <c r="F404" s="135">
        <v>0.145</v>
      </c>
      <c r="G404" s="118"/>
    </row>
    <row r="405">
      <c r="A405" s="132">
        <v>404.0</v>
      </c>
      <c r="B405" s="132" t="s">
        <v>421</v>
      </c>
      <c r="C405" s="133" t="s">
        <v>433</v>
      </c>
      <c r="D405" s="133" t="s">
        <v>433</v>
      </c>
      <c r="E405" s="116"/>
      <c r="F405" s="135">
        <v>0.145</v>
      </c>
      <c r="G405" s="118"/>
    </row>
    <row r="406">
      <c r="A406" s="132">
        <v>405.0</v>
      </c>
      <c r="B406" s="132" t="s">
        <v>421</v>
      </c>
      <c r="C406" s="133" t="s">
        <v>436</v>
      </c>
      <c r="D406" s="134"/>
      <c r="E406" s="116"/>
      <c r="F406" s="135">
        <v>0.145</v>
      </c>
      <c r="G406" s="118"/>
    </row>
    <row r="407">
      <c r="A407" s="132">
        <v>406.0</v>
      </c>
      <c r="B407" s="132" t="s">
        <v>421</v>
      </c>
      <c r="C407" s="133" t="s">
        <v>437</v>
      </c>
      <c r="D407" s="134"/>
      <c r="E407" s="116"/>
      <c r="F407" s="135">
        <v>0.145</v>
      </c>
      <c r="G407" s="118"/>
    </row>
    <row r="408">
      <c r="A408" s="132">
        <v>407.0</v>
      </c>
      <c r="B408" s="132" t="s">
        <v>421</v>
      </c>
      <c r="C408" s="133" t="s">
        <v>339</v>
      </c>
      <c r="D408" s="134"/>
      <c r="E408" s="116"/>
      <c r="F408" s="135">
        <v>0.145</v>
      </c>
      <c r="G408" s="118"/>
    </row>
    <row r="409">
      <c r="A409" s="132">
        <v>408.0</v>
      </c>
      <c r="B409" s="132" t="s">
        <v>421</v>
      </c>
      <c r="C409" s="133" t="s">
        <v>438</v>
      </c>
      <c r="D409" s="134"/>
      <c r="E409" s="116"/>
      <c r="F409" s="135">
        <v>0.145</v>
      </c>
      <c r="G409" s="118"/>
    </row>
    <row r="410">
      <c r="A410" s="132">
        <v>409.0</v>
      </c>
      <c r="B410" s="132" t="s">
        <v>421</v>
      </c>
      <c r="C410" s="133" t="s">
        <v>439</v>
      </c>
      <c r="D410" s="133" t="s">
        <v>62</v>
      </c>
      <c r="E410" s="116"/>
      <c r="F410" s="135">
        <v>0.145</v>
      </c>
      <c r="G410" s="118"/>
    </row>
    <row r="411">
      <c r="A411" s="132">
        <v>410.0</v>
      </c>
      <c r="B411" s="132" t="s">
        <v>421</v>
      </c>
      <c r="C411" s="133" t="s">
        <v>439</v>
      </c>
      <c r="D411" s="133" t="s">
        <v>440</v>
      </c>
      <c r="E411" s="116"/>
      <c r="F411" s="135">
        <v>0.145</v>
      </c>
      <c r="G411" s="118"/>
    </row>
    <row r="412">
      <c r="A412" s="132">
        <v>411.0</v>
      </c>
      <c r="B412" s="132" t="s">
        <v>421</v>
      </c>
      <c r="C412" s="133" t="s">
        <v>439</v>
      </c>
      <c r="D412" s="133" t="s">
        <v>441</v>
      </c>
      <c r="E412" s="116"/>
      <c r="F412" s="135">
        <v>0.145</v>
      </c>
      <c r="G412" s="118"/>
    </row>
    <row r="413">
      <c r="A413" s="132">
        <v>412.0</v>
      </c>
      <c r="B413" s="132" t="s">
        <v>421</v>
      </c>
      <c r="C413" s="133" t="s">
        <v>439</v>
      </c>
      <c r="D413" s="133" t="s">
        <v>442</v>
      </c>
      <c r="E413" s="116"/>
      <c r="F413" s="135">
        <v>0.145</v>
      </c>
      <c r="G413" s="118"/>
    </row>
    <row r="414">
      <c r="A414" s="132">
        <v>413.0</v>
      </c>
      <c r="B414" s="132" t="s">
        <v>421</v>
      </c>
      <c r="C414" s="133" t="s">
        <v>439</v>
      </c>
      <c r="D414" s="133" t="s">
        <v>443</v>
      </c>
      <c r="E414" s="116"/>
      <c r="F414" s="135">
        <v>0.145</v>
      </c>
      <c r="G414" s="118"/>
    </row>
    <row r="415">
      <c r="A415" s="132">
        <v>414.0</v>
      </c>
      <c r="B415" s="132" t="s">
        <v>421</v>
      </c>
      <c r="C415" s="133" t="s">
        <v>444</v>
      </c>
      <c r="D415" s="134"/>
      <c r="E415" s="116"/>
      <c r="F415" s="135">
        <v>0.145</v>
      </c>
      <c r="G415" s="118"/>
    </row>
    <row r="416">
      <c r="A416" s="132">
        <v>415.0</v>
      </c>
      <c r="B416" s="132" t="s">
        <v>421</v>
      </c>
      <c r="C416" s="133" t="s">
        <v>341</v>
      </c>
      <c r="D416" s="133" t="s">
        <v>62</v>
      </c>
      <c r="E416" s="116"/>
      <c r="F416" s="135">
        <v>0.145</v>
      </c>
      <c r="G416" s="118"/>
    </row>
    <row r="417">
      <c r="A417" s="132">
        <v>416.0</v>
      </c>
      <c r="B417" s="132" t="s">
        <v>421</v>
      </c>
      <c r="C417" s="133" t="s">
        <v>341</v>
      </c>
      <c r="D417" s="133" t="s">
        <v>445</v>
      </c>
      <c r="E417" s="116"/>
      <c r="F417" s="135">
        <v>0.145</v>
      </c>
      <c r="G417" s="118"/>
    </row>
    <row r="418">
      <c r="A418" s="132">
        <v>417.0</v>
      </c>
      <c r="B418" s="132" t="s">
        <v>421</v>
      </c>
      <c r="C418" s="133" t="s">
        <v>341</v>
      </c>
      <c r="D418" s="133" t="s">
        <v>446</v>
      </c>
      <c r="E418" s="116"/>
      <c r="F418" s="135">
        <v>0.145</v>
      </c>
      <c r="G418" s="118"/>
    </row>
    <row r="419">
      <c r="A419" s="132">
        <v>418.0</v>
      </c>
      <c r="B419" s="132" t="s">
        <v>421</v>
      </c>
      <c r="C419" s="133" t="s">
        <v>341</v>
      </c>
      <c r="D419" s="133" t="s">
        <v>447</v>
      </c>
      <c r="E419" s="116"/>
      <c r="F419" s="135">
        <v>0.145</v>
      </c>
      <c r="G419" s="118"/>
    </row>
    <row r="420">
      <c r="A420" s="132">
        <v>419.0</v>
      </c>
      <c r="B420" s="132" t="s">
        <v>421</v>
      </c>
      <c r="C420" s="133" t="s">
        <v>341</v>
      </c>
      <c r="D420" s="133" t="s">
        <v>448</v>
      </c>
      <c r="E420" s="116"/>
      <c r="F420" s="135">
        <v>0.145</v>
      </c>
      <c r="G420" s="118"/>
    </row>
    <row r="421">
      <c r="A421" s="132">
        <v>420.0</v>
      </c>
      <c r="B421" s="132" t="s">
        <v>421</v>
      </c>
      <c r="C421" s="133" t="s">
        <v>449</v>
      </c>
      <c r="D421" s="133" t="s">
        <v>345</v>
      </c>
      <c r="E421" s="116"/>
      <c r="F421" s="135">
        <v>0.145</v>
      </c>
      <c r="G421" s="118"/>
    </row>
    <row r="422">
      <c r="A422" s="132">
        <v>421.0</v>
      </c>
      <c r="B422" s="132" t="s">
        <v>421</v>
      </c>
      <c r="C422" s="133" t="s">
        <v>449</v>
      </c>
      <c r="D422" s="133" t="s">
        <v>62</v>
      </c>
      <c r="E422" s="116"/>
      <c r="F422" s="135">
        <v>0.145</v>
      </c>
      <c r="G422" s="118"/>
    </row>
    <row r="423">
      <c r="A423" s="132">
        <v>422.0</v>
      </c>
      <c r="B423" s="132" t="s">
        <v>421</v>
      </c>
      <c r="C423" s="133" t="s">
        <v>449</v>
      </c>
      <c r="D423" s="133" t="s">
        <v>436</v>
      </c>
      <c r="E423" s="116"/>
      <c r="F423" s="135">
        <v>0.145</v>
      </c>
      <c r="G423" s="118"/>
    </row>
    <row r="424">
      <c r="A424" s="132">
        <v>423.0</v>
      </c>
      <c r="B424" s="132" t="s">
        <v>421</v>
      </c>
      <c r="C424" s="133" t="s">
        <v>449</v>
      </c>
      <c r="D424" s="133" t="s">
        <v>341</v>
      </c>
      <c r="E424" s="116"/>
      <c r="F424" s="135">
        <v>0.145</v>
      </c>
      <c r="G424" s="118"/>
    </row>
    <row r="425">
      <c r="A425" s="132">
        <v>424.0</v>
      </c>
      <c r="B425" s="132" t="s">
        <v>450</v>
      </c>
      <c r="C425" s="133" t="s">
        <v>351</v>
      </c>
      <c r="D425" s="133" t="s">
        <v>451</v>
      </c>
      <c r="E425" s="116"/>
      <c r="F425" s="135">
        <v>0.137</v>
      </c>
      <c r="G425" s="118"/>
    </row>
    <row r="426">
      <c r="A426" s="132">
        <v>425.0</v>
      </c>
      <c r="B426" s="132" t="s">
        <v>450</v>
      </c>
      <c r="C426" s="133" t="s">
        <v>351</v>
      </c>
      <c r="D426" s="133" t="s">
        <v>62</v>
      </c>
      <c r="E426" s="116"/>
      <c r="F426" s="135">
        <v>0.137</v>
      </c>
      <c r="G426" s="118"/>
    </row>
    <row r="427">
      <c r="A427" s="132">
        <v>426.0</v>
      </c>
      <c r="B427" s="132" t="s">
        <v>450</v>
      </c>
      <c r="C427" s="133" t="s">
        <v>351</v>
      </c>
      <c r="D427" s="133" t="s">
        <v>452</v>
      </c>
      <c r="E427" s="116"/>
      <c r="F427" s="135">
        <v>0.137</v>
      </c>
      <c r="G427" s="118"/>
    </row>
    <row r="428">
      <c r="A428" s="132">
        <v>427.0</v>
      </c>
      <c r="B428" s="132" t="s">
        <v>450</v>
      </c>
      <c r="C428" s="133" t="s">
        <v>351</v>
      </c>
      <c r="D428" s="133" t="s">
        <v>453</v>
      </c>
      <c r="E428" s="116"/>
      <c r="F428" s="135">
        <v>0.137</v>
      </c>
      <c r="G428" s="118"/>
    </row>
    <row r="429">
      <c r="A429" s="132">
        <v>428.0</v>
      </c>
      <c r="B429" s="132" t="s">
        <v>450</v>
      </c>
      <c r="C429" s="133" t="s">
        <v>454</v>
      </c>
      <c r="D429" s="134"/>
      <c r="E429" s="116"/>
      <c r="F429" s="135">
        <v>0.137</v>
      </c>
      <c r="G429" s="118"/>
    </row>
    <row r="430">
      <c r="A430" s="132">
        <v>429.0</v>
      </c>
      <c r="B430" s="132" t="s">
        <v>450</v>
      </c>
      <c r="C430" s="133" t="s">
        <v>62</v>
      </c>
      <c r="D430" s="134"/>
      <c r="E430" s="116"/>
      <c r="F430" s="135">
        <v>0.137</v>
      </c>
      <c r="G430" s="118"/>
    </row>
    <row r="431">
      <c r="A431" s="132">
        <v>430.0</v>
      </c>
      <c r="B431" s="132" t="s">
        <v>450</v>
      </c>
      <c r="C431" s="133" t="s">
        <v>455</v>
      </c>
      <c r="D431" s="134"/>
      <c r="E431" s="116"/>
      <c r="F431" s="135">
        <v>0.137</v>
      </c>
      <c r="G431" s="118"/>
    </row>
    <row r="432">
      <c r="A432" s="132">
        <v>431.0</v>
      </c>
      <c r="B432" s="132" t="s">
        <v>450</v>
      </c>
      <c r="C432" s="133" t="s">
        <v>456</v>
      </c>
      <c r="D432" s="133" t="s">
        <v>457</v>
      </c>
      <c r="E432" s="116"/>
      <c r="F432" s="135">
        <v>0.137</v>
      </c>
      <c r="G432" s="118"/>
    </row>
    <row r="433">
      <c r="A433" s="132">
        <v>432.0</v>
      </c>
      <c r="B433" s="132" t="s">
        <v>450</v>
      </c>
      <c r="C433" s="133" t="s">
        <v>456</v>
      </c>
      <c r="D433" s="133" t="s">
        <v>458</v>
      </c>
      <c r="E433" s="116"/>
      <c r="F433" s="135">
        <v>0.137</v>
      </c>
      <c r="G433" s="118"/>
    </row>
    <row r="434">
      <c r="A434" s="132">
        <v>433.0</v>
      </c>
      <c r="B434" s="132" t="s">
        <v>450</v>
      </c>
      <c r="C434" s="133" t="s">
        <v>456</v>
      </c>
      <c r="D434" s="133" t="s">
        <v>459</v>
      </c>
      <c r="E434" s="116"/>
      <c r="F434" s="135">
        <v>0.137</v>
      </c>
      <c r="G434" s="118"/>
    </row>
    <row r="435">
      <c r="A435" s="132">
        <v>434.0</v>
      </c>
      <c r="B435" s="132" t="s">
        <v>450</v>
      </c>
      <c r="C435" s="133" t="s">
        <v>456</v>
      </c>
      <c r="D435" s="133" t="s">
        <v>62</v>
      </c>
      <c r="E435" s="116"/>
      <c r="F435" s="135">
        <v>0.137</v>
      </c>
      <c r="G435" s="118"/>
    </row>
    <row r="436">
      <c r="A436" s="132">
        <v>435.0</v>
      </c>
      <c r="B436" s="132" t="s">
        <v>450</v>
      </c>
      <c r="C436" s="133" t="s">
        <v>456</v>
      </c>
      <c r="D436" s="133" t="s">
        <v>460</v>
      </c>
      <c r="E436" s="116"/>
      <c r="F436" s="135">
        <v>0.137</v>
      </c>
      <c r="G436" s="118"/>
    </row>
    <row r="437">
      <c r="A437" s="132">
        <v>436.0</v>
      </c>
      <c r="B437" s="132" t="s">
        <v>450</v>
      </c>
      <c r="C437" s="133" t="s">
        <v>461</v>
      </c>
      <c r="D437" s="133" t="s">
        <v>62</v>
      </c>
      <c r="E437" s="116"/>
      <c r="F437" s="135">
        <v>0.137</v>
      </c>
      <c r="G437" s="118"/>
    </row>
    <row r="438">
      <c r="A438" s="132">
        <v>437.0</v>
      </c>
      <c r="B438" s="132" t="s">
        <v>450</v>
      </c>
      <c r="C438" s="133" t="s">
        <v>461</v>
      </c>
      <c r="D438" s="133" t="s">
        <v>462</v>
      </c>
      <c r="E438" s="116"/>
      <c r="F438" s="135">
        <v>0.137</v>
      </c>
      <c r="G438" s="118"/>
    </row>
    <row r="439">
      <c r="A439" s="132">
        <v>438.0</v>
      </c>
      <c r="B439" s="132" t="s">
        <v>450</v>
      </c>
      <c r="C439" s="133" t="s">
        <v>461</v>
      </c>
      <c r="D439" s="133" t="s">
        <v>463</v>
      </c>
      <c r="E439" s="116"/>
      <c r="F439" s="135">
        <v>0.137</v>
      </c>
      <c r="G439" s="118"/>
    </row>
    <row r="440">
      <c r="A440" s="132">
        <v>439.0</v>
      </c>
      <c r="B440" s="132" t="s">
        <v>450</v>
      </c>
      <c r="C440" s="133" t="s">
        <v>461</v>
      </c>
      <c r="D440" s="133" t="s">
        <v>464</v>
      </c>
      <c r="E440" s="116"/>
      <c r="F440" s="135">
        <v>0.137</v>
      </c>
      <c r="G440" s="118"/>
    </row>
    <row r="441">
      <c r="A441" s="132">
        <v>440.0</v>
      </c>
      <c r="B441" s="132" t="s">
        <v>450</v>
      </c>
      <c r="C441" s="133" t="s">
        <v>461</v>
      </c>
      <c r="D441" s="133" t="s">
        <v>465</v>
      </c>
      <c r="E441" s="116"/>
      <c r="F441" s="135">
        <v>0.137</v>
      </c>
      <c r="G441" s="118"/>
    </row>
    <row r="442">
      <c r="A442" s="132">
        <v>441.0</v>
      </c>
      <c r="B442" s="132" t="s">
        <v>450</v>
      </c>
      <c r="C442" s="133" t="s">
        <v>461</v>
      </c>
      <c r="D442" s="133" t="s">
        <v>466</v>
      </c>
      <c r="E442" s="116"/>
      <c r="F442" s="135">
        <v>0.137</v>
      </c>
      <c r="G442" s="118"/>
    </row>
    <row r="443">
      <c r="A443" s="132">
        <v>442.0</v>
      </c>
      <c r="B443" s="132" t="s">
        <v>450</v>
      </c>
      <c r="C443" s="133" t="s">
        <v>467</v>
      </c>
      <c r="D443" s="134"/>
      <c r="E443" s="116"/>
      <c r="F443" s="135">
        <v>0.137</v>
      </c>
      <c r="G443" s="118"/>
    </row>
    <row r="444">
      <c r="A444" s="132">
        <v>443.0</v>
      </c>
      <c r="B444" s="132" t="s">
        <v>450</v>
      </c>
      <c r="C444" s="133" t="s">
        <v>468</v>
      </c>
      <c r="D444" s="134"/>
      <c r="E444" s="116"/>
      <c r="F444" s="135">
        <v>0.137</v>
      </c>
      <c r="G444" s="118"/>
    </row>
    <row r="445">
      <c r="A445" s="132">
        <v>444.0</v>
      </c>
      <c r="B445" s="132" t="s">
        <v>469</v>
      </c>
      <c r="C445" s="133" t="s">
        <v>470</v>
      </c>
      <c r="D445" s="133" t="s">
        <v>471</v>
      </c>
      <c r="E445" s="116"/>
      <c r="F445" s="135">
        <v>0.137</v>
      </c>
      <c r="G445" s="118"/>
    </row>
    <row r="446">
      <c r="A446" s="132">
        <v>445.0</v>
      </c>
      <c r="B446" s="132" t="s">
        <v>469</v>
      </c>
      <c r="C446" s="133" t="s">
        <v>472</v>
      </c>
      <c r="D446" s="133" t="s">
        <v>473</v>
      </c>
      <c r="E446" s="116"/>
      <c r="F446" s="135">
        <v>0.137</v>
      </c>
      <c r="G446" s="118"/>
    </row>
    <row r="447">
      <c r="A447" s="132">
        <v>446.0</v>
      </c>
      <c r="B447" s="132" t="s">
        <v>469</v>
      </c>
      <c r="C447" s="133" t="s">
        <v>474</v>
      </c>
      <c r="D447" s="133" t="s">
        <v>475</v>
      </c>
      <c r="E447" s="116"/>
      <c r="F447" s="135">
        <v>0.137</v>
      </c>
      <c r="G447" s="118"/>
    </row>
    <row r="448">
      <c r="A448" s="132">
        <v>447.0</v>
      </c>
      <c r="B448" s="132" t="s">
        <v>469</v>
      </c>
      <c r="C448" s="133" t="s">
        <v>476</v>
      </c>
      <c r="D448" s="134"/>
      <c r="E448" s="116"/>
      <c r="F448" s="135">
        <v>0.137</v>
      </c>
      <c r="G448" s="118"/>
    </row>
    <row r="449">
      <c r="A449" s="132">
        <v>448.0</v>
      </c>
      <c r="B449" s="132" t="s">
        <v>469</v>
      </c>
      <c r="C449" s="133" t="s">
        <v>477</v>
      </c>
      <c r="D449" s="133" t="s">
        <v>478</v>
      </c>
      <c r="E449" s="116"/>
      <c r="F449" s="135">
        <v>0.137</v>
      </c>
      <c r="G449" s="118"/>
    </row>
    <row r="450">
      <c r="A450" s="132">
        <v>449.0</v>
      </c>
      <c r="B450" s="132" t="s">
        <v>469</v>
      </c>
      <c r="C450" s="133" t="s">
        <v>477</v>
      </c>
      <c r="D450" s="133" t="s">
        <v>479</v>
      </c>
      <c r="E450" s="116"/>
      <c r="F450" s="135">
        <v>0.137</v>
      </c>
      <c r="G450" s="118"/>
    </row>
    <row r="451">
      <c r="A451" s="132">
        <v>450.0</v>
      </c>
      <c r="B451" s="132" t="s">
        <v>469</v>
      </c>
      <c r="C451" s="133" t="s">
        <v>477</v>
      </c>
      <c r="D451" s="133" t="s">
        <v>480</v>
      </c>
      <c r="E451" s="116"/>
      <c r="F451" s="135">
        <v>0.137</v>
      </c>
      <c r="G451" s="118"/>
    </row>
    <row r="452">
      <c r="A452" s="132">
        <v>451.0</v>
      </c>
      <c r="B452" s="132" t="s">
        <v>469</v>
      </c>
      <c r="C452" s="133" t="s">
        <v>477</v>
      </c>
      <c r="D452" s="133" t="s">
        <v>481</v>
      </c>
      <c r="E452" s="116"/>
      <c r="F452" s="135">
        <v>0.137</v>
      </c>
      <c r="G452" s="118"/>
    </row>
    <row r="453">
      <c r="A453" s="132">
        <v>452.0</v>
      </c>
      <c r="B453" s="132" t="s">
        <v>49</v>
      </c>
      <c r="C453" s="133" t="s">
        <v>62</v>
      </c>
      <c r="D453" s="134"/>
      <c r="E453" s="116"/>
      <c r="F453" s="135">
        <v>0.145</v>
      </c>
      <c r="G453" s="118"/>
    </row>
    <row r="454">
      <c r="A454" s="132">
        <v>453.0</v>
      </c>
      <c r="B454" s="132" t="s">
        <v>49</v>
      </c>
      <c r="C454" s="133" t="s">
        <v>482</v>
      </c>
      <c r="D454" s="133" t="s">
        <v>483</v>
      </c>
      <c r="E454" s="116"/>
      <c r="F454" s="135">
        <v>0.145</v>
      </c>
      <c r="G454" s="118"/>
    </row>
    <row r="455">
      <c r="A455" s="132">
        <v>454.0</v>
      </c>
      <c r="B455" s="132" t="s">
        <v>49</v>
      </c>
      <c r="C455" s="133" t="s">
        <v>482</v>
      </c>
      <c r="D455" s="133" t="s">
        <v>484</v>
      </c>
      <c r="E455" s="116"/>
      <c r="F455" s="135">
        <v>0.145</v>
      </c>
      <c r="G455" s="118"/>
    </row>
    <row r="456">
      <c r="A456" s="132">
        <v>455.0</v>
      </c>
      <c r="B456" s="132" t="s">
        <v>49</v>
      </c>
      <c r="C456" s="133" t="s">
        <v>482</v>
      </c>
      <c r="D456" s="133" t="s">
        <v>485</v>
      </c>
      <c r="E456" s="116"/>
      <c r="F456" s="135">
        <v>0.145</v>
      </c>
      <c r="G456" s="118"/>
    </row>
    <row r="457">
      <c r="A457" s="132">
        <v>456.0</v>
      </c>
      <c r="B457" s="132" t="s">
        <v>49</v>
      </c>
      <c r="C457" s="133" t="s">
        <v>482</v>
      </c>
      <c r="D457" s="133" t="s">
        <v>486</v>
      </c>
      <c r="E457" s="116"/>
      <c r="F457" s="135">
        <v>0.145</v>
      </c>
      <c r="G457" s="118"/>
    </row>
    <row r="458">
      <c r="A458" s="132">
        <v>457.0</v>
      </c>
      <c r="B458" s="132" t="s">
        <v>49</v>
      </c>
      <c r="C458" s="133" t="s">
        <v>482</v>
      </c>
      <c r="D458" s="133" t="s">
        <v>487</v>
      </c>
      <c r="E458" s="116"/>
      <c r="F458" s="135">
        <v>0.145</v>
      </c>
      <c r="G458" s="118"/>
    </row>
    <row r="459">
      <c r="A459" s="132">
        <v>458.0</v>
      </c>
      <c r="B459" s="132" t="s">
        <v>49</v>
      </c>
      <c r="C459" s="133" t="s">
        <v>482</v>
      </c>
      <c r="D459" s="133" t="s">
        <v>488</v>
      </c>
      <c r="E459" s="116"/>
      <c r="F459" s="135">
        <v>0.145</v>
      </c>
      <c r="G459" s="118"/>
    </row>
    <row r="460">
      <c r="A460" s="132">
        <v>459.0</v>
      </c>
      <c r="B460" s="132" t="s">
        <v>49</v>
      </c>
      <c r="C460" s="133" t="s">
        <v>482</v>
      </c>
      <c r="D460" s="133" t="s">
        <v>489</v>
      </c>
      <c r="E460" s="116"/>
      <c r="F460" s="135">
        <v>0.145</v>
      </c>
      <c r="G460" s="118"/>
    </row>
    <row r="461">
      <c r="A461" s="132">
        <v>460.0</v>
      </c>
      <c r="B461" s="132" t="s">
        <v>49</v>
      </c>
      <c r="C461" s="133" t="s">
        <v>482</v>
      </c>
      <c r="D461" s="133" t="s">
        <v>490</v>
      </c>
      <c r="E461" s="116"/>
      <c r="F461" s="135">
        <v>0.145</v>
      </c>
      <c r="G461" s="118"/>
    </row>
    <row r="462">
      <c r="A462" s="132">
        <v>461.0</v>
      </c>
      <c r="B462" s="132" t="s">
        <v>49</v>
      </c>
      <c r="C462" s="133" t="s">
        <v>482</v>
      </c>
      <c r="D462" s="133" t="s">
        <v>491</v>
      </c>
      <c r="E462" s="116"/>
      <c r="F462" s="135">
        <v>0.145</v>
      </c>
      <c r="G462" s="118"/>
    </row>
    <row r="463">
      <c r="A463" s="132">
        <v>462.0</v>
      </c>
      <c r="B463" s="132" t="s">
        <v>49</v>
      </c>
      <c r="C463" s="133" t="s">
        <v>482</v>
      </c>
      <c r="D463" s="133" t="s">
        <v>492</v>
      </c>
      <c r="E463" s="116"/>
      <c r="F463" s="135">
        <v>0.145</v>
      </c>
      <c r="G463" s="118"/>
    </row>
    <row r="464">
      <c r="A464" s="132">
        <v>463.0</v>
      </c>
      <c r="B464" s="132" t="s">
        <v>49</v>
      </c>
      <c r="C464" s="133" t="s">
        <v>482</v>
      </c>
      <c r="D464" s="133" t="s">
        <v>493</v>
      </c>
      <c r="E464" s="116"/>
      <c r="F464" s="135">
        <v>0.145</v>
      </c>
      <c r="G464" s="118"/>
    </row>
    <row r="465">
      <c r="A465" s="132">
        <v>464.0</v>
      </c>
      <c r="B465" s="132" t="s">
        <v>49</v>
      </c>
      <c r="C465" s="133" t="s">
        <v>482</v>
      </c>
      <c r="D465" s="133" t="s">
        <v>494</v>
      </c>
      <c r="E465" s="116"/>
      <c r="F465" s="135">
        <v>0.145</v>
      </c>
      <c r="G465" s="118"/>
    </row>
    <row r="466">
      <c r="A466" s="132">
        <v>465.0</v>
      </c>
      <c r="B466" s="132" t="s">
        <v>49</v>
      </c>
      <c r="C466" s="133" t="s">
        <v>495</v>
      </c>
      <c r="D466" s="133" t="s">
        <v>496</v>
      </c>
      <c r="E466" s="116"/>
      <c r="F466" s="135">
        <v>0.145</v>
      </c>
      <c r="G466" s="118"/>
    </row>
    <row r="467">
      <c r="A467" s="132">
        <v>466.0</v>
      </c>
      <c r="B467" s="132" t="s">
        <v>49</v>
      </c>
      <c r="C467" s="133" t="s">
        <v>495</v>
      </c>
      <c r="D467" s="133" t="s">
        <v>497</v>
      </c>
      <c r="E467" s="116"/>
      <c r="F467" s="135">
        <v>0.145</v>
      </c>
      <c r="G467" s="118"/>
    </row>
    <row r="468">
      <c r="A468" s="132">
        <v>467.0</v>
      </c>
      <c r="B468" s="132" t="s">
        <v>49</v>
      </c>
      <c r="C468" s="133" t="s">
        <v>495</v>
      </c>
      <c r="D468" s="133" t="s">
        <v>498</v>
      </c>
      <c r="E468" s="116"/>
      <c r="F468" s="135">
        <v>0.145</v>
      </c>
      <c r="G468" s="118"/>
    </row>
    <row r="469">
      <c r="A469" s="132">
        <v>468.0</v>
      </c>
      <c r="B469" s="132" t="s">
        <v>49</v>
      </c>
      <c r="C469" s="133" t="s">
        <v>495</v>
      </c>
      <c r="D469" s="133" t="s">
        <v>499</v>
      </c>
      <c r="E469" s="116"/>
      <c r="F469" s="135">
        <v>0.145</v>
      </c>
      <c r="G469" s="118"/>
    </row>
    <row r="470">
      <c r="A470" s="132">
        <v>469.0</v>
      </c>
      <c r="B470" s="132" t="s">
        <v>49</v>
      </c>
      <c r="C470" s="133" t="s">
        <v>495</v>
      </c>
      <c r="D470" s="133" t="s">
        <v>62</v>
      </c>
      <c r="E470" s="116"/>
      <c r="F470" s="135">
        <v>0.145</v>
      </c>
      <c r="G470" s="118"/>
    </row>
    <row r="471">
      <c r="A471" s="132">
        <v>470.0</v>
      </c>
      <c r="B471" s="132" t="s">
        <v>49</v>
      </c>
      <c r="C471" s="133" t="s">
        <v>495</v>
      </c>
      <c r="D471" s="133" t="s">
        <v>500</v>
      </c>
      <c r="E471" s="116"/>
      <c r="F471" s="135">
        <v>0.145</v>
      </c>
      <c r="G471" s="118"/>
    </row>
    <row r="472">
      <c r="A472" s="132">
        <v>471.0</v>
      </c>
      <c r="B472" s="132" t="s">
        <v>49</v>
      </c>
      <c r="C472" s="133" t="s">
        <v>495</v>
      </c>
      <c r="D472" s="133" t="s">
        <v>501</v>
      </c>
      <c r="E472" s="116"/>
      <c r="F472" s="135">
        <v>0.145</v>
      </c>
      <c r="G472" s="118"/>
    </row>
    <row r="473">
      <c r="A473" s="132">
        <v>472.0</v>
      </c>
      <c r="B473" s="132" t="s">
        <v>49</v>
      </c>
      <c r="C473" s="133" t="s">
        <v>495</v>
      </c>
      <c r="D473" s="133" t="s">
        <v>502</v>
      </c>
      <c r="E473" s="116"/>
      <c r="F473" s="135">
        <v>0.145</v>
      </c>
      <c r="G473" s="118"/>
    </row>
    <row r="474">
      <c r="A474" s="132">
        <v>473.0</v>
      </c>
      <c r="B474" s="132" t="s">
        <v>49</v>
      </c>
      <c r="C474" s="133" t="s">
        <v>495</v>
      </c>
      <c r="D474" s="133" t="s">
        <v>503</v>
      </c>
      <c r="E474" s="116"/>
      <c r="F474" s="135">
        <v>0.145</v>
      </c>
      <c r="G474" s="118"/>
    </row>
    <row r="475">
      <c r="A475" s="132">
        <v>474.0</v>
      </c>
      <c r="B475" s="132" t="s">
        <v>49</v>
      </c>
      <c r="C475" s="133" t="s">
        <v>50</v>
      </c>
      <c r="D475" s="133" t="s">
        <v>504</v>
      </c>
      <c r="E475" s="116"/>
      <c r="F475" s="135">
        <v>0.137</v>
      </c>
      <c r="G475" s="118"/>
    </row>
    <row r="476">
      <c r="A476" s="132">
        <v>475.0</v>
      </c>
      <c r="B476" s="132" t="s">
        <v>49</v>
      </c>
      <c r="C476" s="133" t="s">
        <v>50</v>
      </c>
      <c r="D476" s="133" t="s">
        <v>505</v>
      </c>
      <c r="E476" s="116"/>
      <c r="F476" s="135">
        <v>0.137</v>
      </c>
      <c r="G476" s="118"/>
    </row>
    <row r="477">
      <c r="A477" s="132">
        <v>476.0</v>
      </c>
      <c r="B477" s="132" t="s">
        <v>49</v>
      </c>
      <c r="C477" s="133" t="s">
        <v>50</v>
      </c>
      <c r="D477" s="133" t="s">
        <v>506</v>
      </c>
      <c r="E477" s="116"/>
      <c r="F477" s="135">
        <v>0.137</v>
      </c>
      <c r="G477" s="118"/>
    </row>
    <row r="478">
      <c r="A478" s="132">
        <v>477.0</v>
      </c>
      <c r="B478" s="132" t="s">
        <v>49</v>
      </c>
      <c r="C478" s="133" t="s">
        <v>50</v>
      </c>
      <c r="D478" s="133" t="s">
        <v>507</v>
      </c>
      <c r="E478" s="116"/>
      <c r="F478" s="135">
        <v>0.137</v>
      </c>
      <c r="G478" s="118"/>
    </row>
    <row r="479">
      <c r="A479" s="132">
        <v>478.0</v>
      </c>
      <c r="B479" s="132" t="s">
        <v>49</v>
      </c>
      <c r="C479" s="133" t="s">
        <v>50</v>
      </c>
      <c r="D479" s="133" t="s">
        <v>508</v>
      </c>
      <c r="E479" s="116"/>
      <c r="F479" s="135">
        <v>0.085</v>
      </c>
      <c r="G479" s="118"/>
    </row>
    <row r="480">
      <c r="A480" s="132">
        <v>479.0</v>
      </c>
      <c r="B480" s="132" t="s">
        <v>49</v>
      </c>
      <c r="C480" s="133" t="s">
        <v>50</v>
      </c>
      <c r="D480" s="133" t="s">
        <v>509</v>
      </c>
      <c r="E480" s="116"/>
      <c r="F480" s="135">
        <v>0.137</v>
      </c>
      <c r="G480" s="118"/>
    </row>
    <row r="481">
      <c r="A481" s="132">
        <v>480.0</v>
      </c>
      <c r="B481" s="132" t="s">
        <v>49</v>
      </c>
      <c r="C481" s="133" t="s">
        <v>50</v>
      </c>
      <c r="D481" s="133" t="s">
        <v>510</v>
      </c>
      <c r="E481" s="116"/>
      <c r="F481" s="135">
        <v>0.085</v>
      </c>
      <c r="G481" s="118"/>
    </row>
    <row r="482">
      <c r="A482" s="132">
        <v>481.0</v>
      </c>
      <c r="B482" s="132" t="s">
        <v>49</v>
      </c>
      <c r="C482" s="133" t="s">
        <v>50</v>
      </c>
      <c r="D482" s="133" t="s">
        <v>511</v>
      </c>
      <c r="E482" s="116"/>
      <c r="F482" s="135">
        <v>0.137</v>
      </c>
      <c r="G482" s="118"/>
    </row>
    <row r="483">
      <c r="A483" s="132">
        <v>482.0</v>
      </c>
      <c r="B483" s="132" t="s">
        <v>49</v>
      </c>
      <c r="C483" s="133" t="s">
        <v>50</v>
      </c>
      <c r="D483" s="133" t="s">
        <v>512</v>
      </c>
      <c r="E483" s="116"/>
      <c r="F483" s="135">
        <v>0.137</v>
      </c>
      <c r="G483" s="118"/>
    </row>
    <row r="484">
      <c r="A484" s="132">
        <v>483.0</v>
      </c>
      <c r="B484" s="132" t="s">
        <v>49</v>
      </c>
      <c r="C484" s="133" t="s">
        <v>50</v>
      </c>
      <c r="D484" s="133" t="s">
        <v>513</v>
      </c>
      <c r="E484" s="116"/>
      <c r="F484" s="135">
        <v>0.137</v>
      </c>
      <c r="G484" s="118"/>
    </row>
    <row r="485">
      <c r="A485" s="132">
        <v>484.0</v>
      </c>
      <c r="B485" s="132" t="s">
        <v>49</v>
      </c>
      <c r="C485" s="133" t="s">
        <v>50</v>
      </c>
      <c r="D485" s="133" t="s">
        <v>514</v>
      </c>
      <c r="E485" s="116"/>
      <c r="F485" s="135">
        <v>0.137</v>
      </c>
      <c r="G485" s="118"/>
    </row>
    <row r="486">
      <c r="A486" s="132">
        <v>485.0</v>
      </c>
      <c r="B486" s="132" t="s">
        <v>49</v>
      </c>
      <c r="C486" s="133" t="s">
        <v>50</v>
      </c>
      <c r="D486" s="133" t="s">
        <v>515</v>
      </c>
      <c r="E486" s="116"/>
      <c r="F486" s="135">
        <v>0.137</v>
      </c>
      <c r="G486" s="118"/>
    </row>
    <row r="487">
      <c r="A487" s="132">
        <v>486.0</v>
      </c>
      <c r="B487" s="132" t="s">
        <v>49</v>
      </c>
      <c r="C487" s="133" t="s">
        <v>50</v>
      </c>
      <c r="D487" s="133" t="s">
        <v>516</v>
      </c>
      <c r="E487" s="116"/>
      <c r="F487" s="135">
        <v>0.137</v>
      </c>
      <c r="G487" s="118"/>
    </row>
    <row r="488">
      <c r="A488" s="132">
        <v>487.0</v>
      </c>
      <c r="B488" s="132" t="s">
        <v>49</v>
      </c>
      <c r="C488" s="133" t="s">
        <v>50</v>
      </c>
      <c r="D488" s="133" t="s">
        <v>517</v>
      </c>
      <c r="E488" s="116"/>
      <c r="F488" s="135">
        <v>0.137</v>
      </c>
      <c r="G488" s="118"/>
    </row>
    <row r="489">
      <c r="A489" s="132">
        <v>488.0</v>
      </c>
      <c r="B489" s="132" t="s">
        <v>49</v>
      </c>
      <c r="C489" s="133" t="s">
        <v>50</v>
      </c>
      <c r="D489" s="133" t="s">
        <v>518</v>
      </c>
      <c r="E489" s="116"/>
      <c r="F489" s="135">
        <v>0.137</v>
      </c>
      <c r="G489" s="118"/>
    </row>
    <row r="490">
      <c r="A490" s="132">
        <v>489.0</v>
      </c>
      <c r="B490" s="132" t="s">
        <v>49</v>
      </c>
      <c r="C490" s="133" t="s">
        <v>50</v>
      </c>
      <c r="D490" s="133" t="s">
        <v>519</v>
      </c>
      <c r="E490" s="116"/>
      <c r="F490" s="135">
        <v>0.137</v>
      </c>
      <c r="G490" s="118"/>
    </row>
    <row r="491">
      <c r="A491" s="132">
        <v>490.0</v>
      </c>
      <c r="B491" s="132" t="s">
        <v>49</v>
      </c>
      <c r="C491" s="133" t="s">
        <v>50</v>
      </c>
      <c r="D491" s="133" t="s">
        <v>520</v>
      </c>
      <c r="E491" s="116"/>
      <c r="F491" s="135">
        <v>0.137</v>
      </c>
      <c r="G491" s="118"/>
    </row>
    <row r="492">
      <c r="A492" s="132">
        <v>491.0</v>
      </c>
      <c r="B492" s="132" t="s">
        <v>49</v>
      </c>
      <c r="C492" s="133" t="s">
        <v>50</v>
      </c>
      <c r="D492" s="133" t="s">
        <v>521</v>
      </c>
      <c r="E492" s="116"/>
      <c r="F492" s="135">
        <v>0.137</v>
      </c>
      <c r="G492" s="118"/>
    </row>
    <row r="493">
      <c r="A493" s="132">
        <v>492.0</v>
      </c>
      <c r="B493" s="132" t="s">
        <v>49</v>
      </c>
      <c r="C493" s="133" t="s">
        <v>50</v>
      </c>
      <c r="D493" s="133" t="s">
        <v>522</v>
      </c>
      <c r="E493" s="116"/>
      <c r="F493" s="135">
        <v>0.137</v>
      </c>
      <c r="G493" s="118"/>
    </row>
    <row r="494">
      <c r="A494" s="132">
        <v>493.0</v>
      </c>
      <c r="B494" s="132" t="s">
        <v>49</v>
      </c>
      <c r="C494" s="133" t="s">
        <v>50</v>
      </c>
      <c r="D494" s="133" t="s">
        <v>523</v>
      </c>
      <c r="E494" s="116"/>
      <c r="F494" s="135">
        <v>0.137</v>
      </c>
      <c r="G494" s="118"/>
    </row>
    <row r="495">
      <c r="A495" s="132">
        <v>494.0</v>
      </c>
      <c r="B495" s="132" t="s">
        <v>49</v>
      </c>
      <c r="C495" s="133" t="s">
        <v>50</v>
      </c>
      <c r="D495" s="133" t="s">
        <v>524</v>
      </c>
      <c r="E495" s="116"/>
      <c r="F495" s="135">
        <v>0.137</v>
      </c>
      <c r="G495" s="118"/>
    </row>
    <row r="496">
      <c r="A496" s="132">
        <v>495.0</v>
      </c>
      <c r="B496" s="132" t="s">
        <v>49</v>
      </c>
      <c r="C496" s="133" t="s">
        <v>50</v>
      </c>
      <c r="D496" s="133" t="s">
        <v>525</v>
      </c>
      <c r="E496" s="116"/>
      <c r="F496" s="135">
        <v>0.137</v>
      </c>
      <c r="G496" s="118"/>
    </row>
    <row r="497">
      <c r="A497" s="132">
        <v>496.0</v>
      </c>
      <c r="B497" s="132" t="s">
        <v>49</v>
      </c>
      <c r="C497" s="133" t="s">
        <v>50</v>
      </c>
      <c r="D497" s="133" t="s">
        <v>526</v>
      </c>
      <c r="E497" s="116"/>
      <c r="F497" s="135">
        <v>0.137</v>
      </c>
      <c r="G497" s="118"/>
    </row>
    <row r="498">
      <c r="A498" s="132">
        <v>497.0</v>
      </c>
      <c r="B498" s="132" t="s">
        <v>49</v>
      </c>
      <c r="C498" s="133" t="s">
        <v>50</v>
      </c>
      <c r="D498" s="133" t="s">
        <v>527</v>
      </c>
      <c r="E498" s="116"/>
      <c r="F498" s="135">
        <v>0.137</v>
      </c>
      <c r="G498" s="118"/>
    </row>
    <row r="499">
      <c r="A499" s="132">
        <v>498.0</v>
      </c>
      <c r="B499" s="132" t="s">
        <v>49</v>
      </c>
      <c r="C499" s="133" t="s">
        <v>50</v>
      </c>
      <c r="D499" s="133" t="s">
        <v>528</v>
      </c>
      <c r="E499" s="116"/>
      <c r="F499" s="135">
        <v>0.137</v>
      </c>
      <c r="G499" s="118"/>
    </row>
    <row r="500">
      <c r="A500" s="132">
        <v>499.0</v>
      </c>
      <c r="B500" s="132" t="s">
        <v>49</v>
      </c>
      <c r="C500" s="133" t="s">
        <v>50</v>
      </c>
      <c r="D500" s="133" t="s">
        <v>529</v>
      </c>
      <c r="E500" s="116"/>
      <c r="F500" s="135">
        <v>0.137</v>
      </c>
      <c r="G500" s="118"/>
    </row>
    <row r="501">
      <c r="A501" s="132">
        <v>500.0</v>
      </c>
      <c r="B501" s="132" t="s">
        <v>49</v>
      </c>
      <c r="C501" s="133" t="s">
        <v>50</v>
      </c>
      <c r="D501" s="133" t="s">
        <v>530</v>
      </c>
      <c r="E501" s="116"/>
      <c r="F501" s="135">
        <v>0.137</v>
      </c>
      <c r="G501" s="118"/>
    </row>
    <row r="502">
      <c r="A502" s="132">
        <v>501.0</v>
      </c>
      <c r="B502" s="132" t="s">
        <v>49</v>
      </c>
      <c r="C502" s="133" t="s">
        <v>531</v>
      </c>
      <c r="D502" s="133" t="s">
        <v>532</v>
      </c>
      <c r="E502" s="116"/>
      <c r="F502" s="135">
        <v>0.137</v>
      </c>
      <c r="G502" s="118"/>
    </row>
    <row r="503">
      <c r="A503" s="132">
        <v>502.0</v>
      </c>
      <c r="B503" s="132" t="s">
        <v>49</v>
      </c>
      <c r="C503" s="133" t="s">
        <v>531</v>
      </c>
      <c r="D503" s="133" t="s">
        <v>533</v>
      </c>
      <c r="E503" s="116"/>
      <c r="F503" s="135">
        <v>0.137</v>
      </c>
      <c r="G503" s="118"/>
    </row>
    <row r="504">
      <c r="A504" s="132">
        <v>503.0</v>
      </c>
      <c r="B504" s="132" t="s">
        <v>49</v>
      </c>
      <c r="C504" s="133" t="s">
        <v>531</v>
      </c>
      <c r="D504" s="133" t="s">
        <v>534</v>
      </c>
      <c r="E504" s="116"/>
      <c r="F504" s="135">
        <v>0.137</v>
      </c>
      <c r="G504" s="118"/>
    </row>
    <row r="505">
      <c r="A505" s="132">
        <v>504.0</v>
      </c>
      <c r="B505" s="132" t="s">
        <v>49</v>
      </c>
      <c r="C505" s="133" t="s">
        <v>531</v>
      </c>
      <c r="D505" s="133" t="s">
        <v>535</v>
      </c>
      <c r="E505" s="116"/>
      <c r="F505" s="135">
        <v>0.137</v>
      </c>
      <c r="G505" s="118"/>
    </row>
    <row r="506">
      <c r="A506" s="132">
        <v>505.0</v>
      </c>
      <c r="B506" s="132" t="s">
        <v>49</v>
      </c>
      <c r="C506" s="133" t="s">
        <v>531</v>
      </c>
      <c r="D506" s="133" t="s">
        <v>536</v>
      </c>
      <c r="E506" s="116"/>
      <c r="F506" s="135">
        <v>0.137</v>
      </c>
      <c r="G506" s="118"/>
    </row>
    <row r="507">
      <c r="A507" s="132">
        <v>506.0</v>
      </c>
      <c r="B507" s="132" t="s">
        <v>49</v>
      </c>
      <c r="C507" s="133" t="s">
        <v>531</v>
      </c>
      <c r="D507" s="133" t="s">
        <v>537</v>
      </c>
      <c r="E507" s="116"/>
      <c r="F507" s="135">
        <v>0.137</v>
      </c>
      <c r="G507" s="118"/>
    </row>
    <row r="508">
      <c r="A508" s="132">
        <v>507.0</v>
      </c>
      <c r="B508" s="132" t="s">
        <v>49</v>
      </c>
      <c r="C508" s="133" t="s">
        <v>531</v>
      </c>
      <c r="D508" s="133" t="s">
        <v>538</v>
      </c>
      <c r="E508" s="116"/>
      <c r="F508" s="135">
        <v>0.137</v>
      </c>
      <c r="G508" s="118"/>
    </row>
    <row r="509">
      <c r="A509" s="132">
        <v>508.0</v>
      </c>
      <c r="B509" s="132" t="s">
        <v>49</v>
      </c>
      <c r="C509" s="133" t="s">
        <v>531</v>
      </c>
      <c r="D509" s="133" t="s">
        <v>539</v>
      </c>
      <c r="E509" s="116"/>
      <c r="F509" s="135">
        <v>0.137</v>
      </c>
      <c r="G509" s="118"/>
    </row>
    <row r="510">
      <c r="A510" s="132">
        <v>509.0</v>
      </c>
      <c r="B510" s="132" t="s">
        <v>49</v>
      </c>
      <c r="C510" s="133" t="s">
        <v>531</v>
      </c>
      <c r="D510" s="133" t="s">
        <v>540</v>
      </c>
      <c r="E510" s="116"/>
      <c r="F510" s="135">
        <v>0.137</v>
      </c>
      <c r="G510" s="118"/>
    </row>
    <row r="511">
      <c r="A511" s="132">
        <v>510.0</v>
      </c>
      <c r="B511" s="132" t="s">
        <v>49</v>
      </c>
      <c r="C511" s="133" t="s">
        <v>531</v>
      </c>
      <c r="D511" s="133" t="s">
        <v>541</v>
      </c>
      <c r="E511" s="116"/>
      <c r="F511" s="135">
        <v>0.137</v>
      </c>
      <c r="G511" s="118"/>
    </row>
    <row r="512">
      <c r="A512" s="132">
        <v>511.0</v>
      </c>
      <c r="B512" s="132" t="s">
        <v>49</v>
      </c>
      <c r="C512" s="133" t="s">
        <v>531</v>
      </c>
      <c r="D512" s="133" t="s">
        <v>542</v>
      </c>
      <c r="E512" s="116"/>
      <c r="F512" s="135">
        <v>0.137</v>
      </c>
      <c r="G512" s="118"/>
    </row>
    <row r="513">
      <c r="A513" s="132">
        <v>512.0</v>
      </c>
      <c r="B513" s="132" t="s">
        <v>543</v>
      </c>
      <c r="C513" s="133" t="s">
        <v>544</v>
      </c>
      <c r="D513" s="134"/>
      <c r="E513" s="116"/>
      <c r="F513" s="135">
        <v>0.137</v>
      </c>
      <c r="G513" s="118"/>
    </row>
    <row r="514">
      <c r="A514" s="132">
        <v>513.0</v>
      </c>
      <c r="B514" s="132" t="s">
        <v>543</v>
      </c>
      <c r="C514" s="133" t="s">
        <v>62</v>
      </c>
      <c r="D514" s="134"/>
      <c r="E514" s="116"/>
      <c r="F514" s="135">
        <v>0.145</v>
      </c>
      <c r="G514" s="118"/>
    </row>
    <row r="515">
      <c r="A515" s="132">
        <v>514.0</v>
      </c>
      <c r="B515" s="132" t="s">
        <v>543</v>
      </c>
      <c r="C515" s="133" t="s">
        <v>545</v>
      </c>
      <c r="D515" s="133" t="s">
        <v>546</v>
      </c>
      <c r="E515" s="116"/>
      <c r="F515" s="135">
        <v>0.145</v>
      </c>
      <c r="G515" s="118"/>
    </row>
    <row r="516">
      <c r="A516" s="132">
        <v>515.0</v>
      </c>
      <c r="B516" s="132" t="s">
        <v>543</v>
      </c>
      <c r="C516" s="133" t="s">
        <v>545</v>
      </c>
      <c r="D516" s="133" t="s">
        <v>547</v>
      </c>
      <c r="E516" s="116"/>
      <c r="F516" s="135">
        <v>0.145</v>
      </c>
      <c r="G516" s="118"/>
    </row>
    <row r="517">
      <c r="A517" s="132">
        <v>516.0</v>
      </c>
      <c r="B517" s="132" t="s">
        <v>543</v>
      </c>
      <c r="C517" s="133" t="s">
        <v>545</v>
      </c>
      <c r="D517" s="133" t="s">
        <v>548</v>
      </c>
      <c r="E517" s="116"/>
      <c r="F517" s="135">
        <v>0.145</v>
      </c>
      <c r="G517" s="118"/>
    </row>
    <row r="518">
      <c r="A518" s="132">
        <v>517.0</v>
      </c>
      <c r="B518" s="132" t="s">
        <v>543</v>
      </c>
      <c r="C518" s="133" t="s">
        <v>545</v>
      </c>
      <c r="D518" s="133" t="s">
        <v>549</v>
      </c>
      <c r="E518" s="116"/>
      <c r="F518" s="135">
        <v>0.145</v>
      </c>
      <c r="G518" s="118"/>
    </row>
    <row r="519">
      <c r="A519" s="132">
        <v>518.0</v>
      </c>
      <c r="B519" s="132" t="s">
        <v>543</v>
      </c>
      <c r="C519" s="133" t="s">
        <v>545</v>
      </c>
      <c r="D519" s="133" t="s">
        <v>550</v>
      </c>
      <c r="E519" s="116"/>
      <c r="F519" s="135">
        <v>0.145</v>
      </c>
      <c r="G519" s="118"/>
    </row>
    <row r="520">
      <c r="A520" s="132">
        <v>519.0</v>
      </c>
      <c r="B520" s="132" t="s">
        <v>543</v>
      </c>
      <c r="C520" s="133" t="s">
        <v>545</v>
      </c>
      <c r="D520" s="133" t="s">
        <v>551</v>
      </c>
      <c r="E520" s="116"/>
      <c r="F520" s="135">
        <v>0.145</v>
      </c>
      <c r="G520" s="118"/>
    </row>
    <row r="521">
      <c r="A521" s="132">
        <v>520.0</v>
      </c>
      <c r="B521" s="132" t="s">
        <v>543</v>
      </c>
      <c r="C521" s="133" t="s">
        <v>545</v>
      </c>
      <c r="D521" s="133" t="s">
        <v>552</v>
      </c>
      <c r="E521" s="116"/>
      <c r="F521" s="135">
        <v>0.145</v>
      </c>
      <c r="G521" s="118"/>
    </row>
    <row r="522">
      <c r="A522" s="132">
        <v>521.0</v>
      </c>
      <c r="B522" s="132" t="s">
        <v>543</v>
      </c>
      <c r="C522" s="133" t="s">
        <v>545</v>
      </c>
      <c r="D522" s="133" t="s">
        <v>553</v>
      </c>
      <c r="E522" s="116"/>
      <c r="F522" s="135">
        <v>0.145</v>
      </c>
      <c r="G522" s="118"/>
    </row>
    <row r="523">
      <c r="A523" s="132">
        <v>522.0</v>
      </c>
      <c r="B523" s="132" t="s">
        <v>543</v>
      </c>
      <c r="C523" s="133" t="s">
        <v>545</v>
      </c>
      <c r="D523" s="133" t="s">
        <v>554</v>
      </c>
      <c r="E523" s="116"/>
      <c r="F523" s="135">
        <v>0.145</v>
      </c>
      <c r="G523" s="118"/>
    </row>
    <row r="524">
      <c r="A524" s="132">
        <v>523.0</v>
      </c>
      <c r="B524" s="132" t="s">
        <v>543</v>
      </c>
      <c r="C524" s="133" t="s">
        <v>545</v>
      </c>
      <c r="D524" s="133" t="s">
        <v>555</v>
      </c>
      <c r="E524" s="116"/>
      <c r="F524" s="135">
        <v>0.145</v>
      </c>
      <c r="G524" s="118"/>
    </row>
    <row r="525">
      <c r="A525" s="132">
        <v>524.0</v>
      </c>
      <c r="B525" s="132" t="s">
        <v>543</v>
      </c>
      <c r="C525" s="133" t="s">
        <v>556</v>
      </c>
      <c r="D525" s="133" t="s">
        <v>557</v>
      </c>
      <c r="E525" s="116"/>
      <c r="F525" s="135">
        <v>0.145</v>
      </c>
      <c r="G525" s="118"/>
    </row>
    <row r="526">
      <c r="A526" s="132">
        <v>525.0</v>
      </c>
      <c r="B526" s="132" t="s">
        <v>543</v>
      </c>
      <c r="C526" s="133" t="s">
        <v>556</v>
      </c>
      <c r="D526" s="133" t="s">
        <v>558</v>
      </c>
      <c r="E526" s="116"/>
      <c r="F526" s="135">
        <v>0.145</v>
      </c>
      <c r="G526" s="118"/>
    </row>
    <row r="527">
      <c r="A527" s="132">
        <v>526.0</v>
      </c>
      <c r="B527" s="132" t="s">
        <v>543</v>
      </c>
      <c r="C527" s="133" t="s">
        <v>556</v>
      </c>
      <c r="D527" s="133" t="s">
        <v>559</v>
      </c>
      <c r="E527" s="116"/>
      <c r="F527" s="135">
        <v>0.145</v>
      </c>
      <c r="G527" s="118"/>
    </row>
    <row r="528">
      <c r="A528" s="132">
        <v>527.0</v>
      </c>
      <c r="B528" s="132" t="s">
        <v>543</v>
      </c>
      <c r="C528" s="133" t="s">
        <v>556</v>
      </c>
      <c r="D528" s="133" t="s">
        <v>560</v>
      </c>
      <c r="E528" s="116"/>
      <c r="F528" s="135">
        <v>0.145</v>
      </c>
      <c r="G528" s="118"/>
    </row>
    <row r="529">
      <c r="A529" s="132">
        <v>528.0</v>
      </c>
      <c r="B529" s="132" t="s">
        <v>561</v>
      </c>
      <c r="C529" s="133" t="s">
        <v>562</v>
      </c>
      <c r="D529" s="134"/>
      <c r="E529" s="116"/>
      <c r="F529" s="135">
        <v>0.126</v>
      </c>
      <c r="G529" s="118"/>
    </row>
    <row r="530">
      <c r="A530" s="132">
        <v>529.0</v>
      </c>
      <c r="B530" s="132" t="s">
        <v>561</v>
      </c>
      <c r="C530" s="133" t="s">
        <v>62</v>
      </c>
      <c r="D530" s="134"/>
      <c r="E530" s="116"/>
      <c r="F530" s="135">
        <v>0.137</v>
      </c>
      <c r="G530" s="118"/>
    </row>
    <row r="531">
      <c r="A531" s="132">
        <v>530.0</v>
      </c>
      <c r="B531" s="132" t="s">
        <v>561</v>
      </c>
      <c r="C531" s="133" t="s">
        <v>563</v>
      </c>
      <c r="D531" s="134"/>
      <c r="E531" s="116"/>
      <c r="F531" s="135">
        <v>0.126</v>
      </c>
      <c r="G531" s="118"/>
    </row>
    <row r="532">
      <c r="A532" s="132">
        <v>531.0</v>
      </c>
      <c r="B532" s="132" t="s">
        <v>561</v>
      </c>
      <c r="C532" s="133" t="s">
        <v>564</v>
      </c>
      <c r="D532" s="133" t="s">
        <v>565</v>
      </c>
      <c r="E532" s="116"/>
      <c r="F532" s="135">
        <v>0.137</v>
      </c>
      <c r="G532" s="118"/>
    </row>
    <row r="533">
      <c r="A533" s="132">
        <v>532.0</v>
      </c>
      <c r="B533" s="132" t="s">
        <v>561</v>
      </c>
      <c r="C533" s="133" t="s">
        <v>564</v>
      </c>
      <c r="D533" s="133" t="s">
        <v>566</v>
      </c>
      <c r="E533" s="116"/>
      <c r="F533" s="135">
        <v>0.137</v>
      </c>
      <c r="G533" s="118"/>
    </row>
    <row r="534">
      <c r="A534" s="132">
        <v>533.0</v>
      </c>
      <c r="B534" s="132" t="s">
        <v>561</v>
      </c>
      <c r="C534" s="133" t="s">
        <v>564</v>
      </c>
      <c r="D534" s="133" t="s">
        <v>567</v>
      </c>
      <c r="E534" s="116"/>
      <c r="F534" s="135">
        <v>0.137</v>
      </c>
      <c r="G534" s="118"/>
    </row>
    <row r="535">
      <c r="A535" s="132">
        <v>534.0</v>
      </c>
      <c r="B535" s="132" t="s">
        <v>561</v>
      </c>
      <c r="C535" s="133" t="s">
        <v>564</v>
      </c>
      <c r="D535" s="133" t="s">
        <v>62</v>
      </c>
      <c r="E535" s="116"/>
      <c r="F535" s="135">
        <v>0.137</v>
      </c>
      <c r="G535" s="118"/>
    </row>
    <row r="536">
      <c r="A536" s="132">
        <v>535.0</v>
      </c>
      <c r="B536" s="132" t="s">
        <v>561</v>
      </c>
      <c r="C536" s="133" t="s">
        <v>564</v>
      </c>
      <c r="D536" s="133" t="s">
        <v>568</v>
      </c>
      <c r="E536" s="116"/>
      <c r="F536" s="135">
        <v>0.137</v>
      </c>
      <c r="G536" s="118"/>
    </row>
    <row r="537">
      <c r="A537" s="132">
        <v>536.0</v>
      </c>
      <c r="B537" s="132" t="s">
        <v>561</v>
      </c>
      <c r="C537" s="133" t="s">
        <v>564</v>
      </c>
      <c r="D537" s="133" t="s">
        <v>569</v>
      </c>
      <c r="E537" s="116"/>
      <c r="F537" s="135">
        <v>0.137</v>
      </c>
      <c r="G537" s="118"/>
    </row>
    <row r="538">
      <c r="A538" s="132">
        <v>537.0</v>
      </c>
      <c r="B538" s="132" t="s">
        <v>561</v>
      </c>
      <c r="C538" s="133" t="s">
        <v>570</v>
      </c>
      <c r="D538" s="134"/>
      <c r="E538" s="116"/>
      <c r="F538" s="135">
        <v>0.137</v>
      </c>
      <c r="G538" s="118"/>
    </row>
    <row r="539">
      <c r="A539" s="132">
        <v>538.0</v>
      </c>
      <c r="B539" s="132" t="s">
        <v>571</v>
      </c>
      <c r="C539" s="133" t="s">
        <v>404</v>
      </c>
      <c r="D539" s="134"/>
      <c r="E539" s="116"/>
      <c r="F539" s="135">
        <v>0.145</v>
      </c>
      <c r="G539" s="118"/>
    </row>
    <row r="540">
      <c r="A540" s="132">
        <v>539.0</v>
      </c>
      <c r="B540" s="132" t="s">
        <v>571</v>
      </c>
      <c r="C540" s="133" t="s">
        <v>572</v>
      </c>
      <c r="D540" s="133" t="s">
        <v>573</v>
      </c>
      <c r="E540" s="116"/>
      <c r="F540" s="135">
        <v>0.145</v>
      </c>
      <c r="G540" s="118"/>
    </row>
    <row r="541">
      <c r="A541" s="132">
        <v>540.0</v>
      </c>
      <c r="B541" s="132" t="s">
        <v>571</v>
      </c>
      <c r="C541" s="133" t="s">
        <v>572</v>
      </c>
      <c r="D541" s="133" t="s">
        <v>574</v>
      </c>
      <c r="E541" s="116"/>
      <c r="F541" s="135">
        <v>0.145</v>
      </c>
      <c r="G541" s="118"/>
    </row>
    <row r="542">
      <c r="A542" s="132">
        <v>541.0</v>
      </c>
      <c r="B542" s="132" t="s">
        <v>571</v>
      </c>
      <c r="C542" s="133" t="s">
        <v>572</v>
      </c>
      <c r="D542" s="133" t="s">
        <v>575</v>
      </c>
      <c r="E542" s="116"/>
      <c r="F542" s="135">
        <v>0.145</v>
      </c>
      <c r="G542" s="118"/>
    </row>
    <row r="543">
      <c r="A543" s="132">
        <v>542.0</v>
      </c>
      <c r="B543" s="132" t="s">
        <v>571</v>
      </c>
      <c r="C543" s="133" t="s">
        <v>572</v>
      </c>
      <c r="D543" s="133" t="s">
        <v>576</v>
      </c>
      <c r="E543" s="116"/>
      <c r="F543" s="135">
        <v>0.145</v>
      </c>
      <c r="G543" s="118"/>
    </row>
    <row r="544">
      <c r="A544" s="132">
        <v>543.0</v>
      </c>
      <c r="B544" s="132" t="s">
        <v>571</v>
      </c>
      <c r="C544" s="133" t="s">
        <v>572</v>
      </c>
      <c r="D544" s="133" t="s">
        <v>577</v>
      </c>
      <c r="E544" s="116"/>
      <c r="F544" s="135">
        <v>0.145</v>
      </c>
      <c r="G544" s="118"/>
    </row>
    <row r="545">
      <c r="A545" s="132">
        <v>544.0</v>
      </c>
      <c r="B545" s="132" t="s">
        <v>571</v>
      </c>
      <c r="C545" s="133" t="s">
        <v>572</v>
      </c>
      <c r="D545" s="133" t="s">
        <v>551</v>
      </c>
      <c r="E545" s="116"/>
      <c r="F545" s="135">
        <v>0.145</v>
      </c>
      <c r="G545" s="118"/>
    </row>
    <row r="546">
      <c r="A546" s="132">
        <v>545.0</v>
      </c>
      <c r="B546" s="132" t="s">
        <v>571</v>
      </c>
      <c r="C546" s="133" t="s">
        <v>578</v>
      </c>
      <c r="D546" s="134"/>
      <c r="E546" s="116"/>
      <c r="F546" s="135">
        <v>0.145</v>
      </c>
      <c r="G546" s="118"/>
    </row>
    <row r="547">
      <c r="A547" s="132">
        <v>546.0</v>
      </c>
      <c r="B547" s="132" t="s">
        <v>571</v>
      </c>
      <c r="C547" s="133" t="s">
        <v>579</v>
      </c>
      <c r="D547" s="134"/>
      <c r="E547" s="116"/>
      <c r="F547" s="135">
        <v>0.145</v>
      </c>
      <c r="G547" s="118"/>
    </row>
    <row r="548">
      <c r="A548" s="132">
        <v>547.0</v>
      </c>
      <c r="B548" s="132" t="s">
        <v>571</v>
      </c>
      <c r="C548" s="133" t="s">
        <v>408</v>
      </c>
      <c r="D548" s="133" t="s">
        <v>409</v>
      </c>
      <c r="E548" s="116"/>
      <c r="F548" s="135">
        <v>0.145</v>
      </c>
      <c r="G548" s="118"/>
    </row>
    <row r="549">
      <c r="A549" s="132">
        <v>548.0</v>
      </c>
      <c r="B549" s="132" t="s">
        <v>571</v>
      </c>
      <c r="C549" s="133" t="s">
        <v>408</v>
      </c>
      <c r="D549" s="133" t="s">
        <v>580</v>
      </c>
      <c r="E549" s="116"/>
      <c r="F549" s="135">
        <v>0.145</v>
      </c>
      <c r="G549" s="118"/>
    </row>
    <row r="550">
      <c r="A550" s="132">
        <v>549.0</v>
      </c>
      <c r="B550" s="132" t="s">
        <v>571</v>
      </c>
      <c r="C550" s="133" t="s">
        <v>408</v>
      </c>
      <c r="D550" s="133" t="s">
        <v>411</v>
      </c>
      <c r="E550" s="116"/>
      <c r="F550" s="135">
        <v>0.145</v>
      </c>
      <c r="G550" s="118"/>
    </row>
    <row r="551">
      <c r="A551" s="132">
        <v>550.0</v>
      </c>
      <c r="B551" s="132" t="s">
        <v>571</v>
      </c>
      <c r="C551" s="133" t="s">
        <v>408</v>
      </c>
      <c r="D551" s="133" t="s">
        <v>62</v>
      </c>
      <c r="E551" s="116"/>
      <c r="F551" s="135">
        <v>0.145</v>
      </c>
      <c r="G551" s="118"/>
    </row>
    <row r="552">
      <c r="A552" s="132">
        <v>551.0</v>
      </c>
      <c r="B552" s="132" t="s">
        <v>571</v>
      </c>
      <c r="C552" s="133" t="s">
        <v>62</v>
      </c>
      <c r="D552" s="134"/>
      <c r="E552" s="116"/>
      <c r="F552" s="135">
        <v>0.145</v>
      </c>
      <c r="G552" s="118"/>
    </row>
    <row r="553">
      <c r="A553" s="132">
        <v>552.0</v>
      </c>
      <c r="B553" s="132" t="s">
        <v>571</v>
      </c>
      <c r="C553" s="133" t="s">
        <v>581</v>
      </c>
      <c r="D553" s="134"/>
      <c r="E553" s="116"/>
      <c r="F553" s="135">
        <v>0.145</v>
      </c>
      <c r="G553" s="118"/>
    </row>
    <row r="554">
      <c r="A554" s="132">
        <v>553.0</v>
      </c>
      <c r="B554" s="132" t="s">
        <v>571</v>
      </c>
      <c r="C554" s="133" t="s">
        <v>412</v>
      </c>
      <c r="D554" s="134"/>
      <c r="E554" s="116"/>
      <c r="F554" s="135">
        <v>0.145</v>
      </c>
      <c r="G554" s="118"/>
    </row>
    <row r="555">
      <c r="A555" s="132">
        <v>554.0</v>
      </c>
      <c r="B555" s="132" t="s">
        <v>571</v>
      </c>
      <c r="C555" s="133" t="s">
        <v>413</v>
      </c>
      <c r="D555" s="134"/>
      <c r="E555" s="116"/>
      <c r="F555" s="135">
        <v>0.145</v>
      </c>
      <c r="G555" s="118"/>
    </row>
    <row r="556">
      <c r="A556" s="132">
        <v>555.0</v>
      </c>
      <c r="B556" s="132" t="s">
        <v>571</v>
      </c>
      <c r="C556" s="133" t="s">
        <v>582</v>
      </c>
      <c r="D556" s="133" t="s">
        <v>583</v>
      </c>
      <c r="E556" s="116"/>
      <c r="F556" s="135">
        <v>0.145</v>
      </c>
      <c r="G556" s="118"/>
    </row>
    <row r="557">
      <c r="A557" s="132">
        <v>556.0</v>
      </c>
      <c r="B557" s="132" t="s">
        <v>571</v>
      </c>
      <c r="C557" s="133" t="s">
        <v>582</v>
      </c>
      <c r="D557" s="133" t="s">
        <v>416</v>
      </c>
      <c r="E557" s="116"/>
      <c r="F557" s="135">
        <v>0.145</v>
      </c>
      <c r="G557" s="118"/>
    </row>
    <row r="558">
      <c r="A558" s="132">
        <v>557.0</v>
      </c>
      <c r="B558" s="132" t="s">
        <v>571</v>
      </c>
      <c r="C558" s="133" t="s">
        <v>582</v>
      </c>
      <c r="D558" s="133" t="s">
        <v>584</v>
      </c>
      <c r="E558" s="116"/>
      <c r="F558" s="135">
        <v>0.145</v>
      </c>
      <c r="G558" s="118"/>
    </row>
    <row r="559">
      <c r="A559" s="132">
        <v>558.0</v>
      </c>
      <c r="B559" s="132" t="s">
        <v>571</v>
      </c>
      <c r="C559" s="133" t="s">
        <v>582</v>
      </c>
      <c r="D559" s="133" t="s">
        <v>418</v>
      </c>
      <c r="E559" s="116"/>
      <c r="F559" s="135">
        <v>0.145</v>
      </c>
      <c r="G559" s="118"/>
    </row>
    <row r="560">
      <c r="A560" s="132">
        <v>559.0</v>
      </c>
      <c r="B560" s="132" t="s">
        <v>571</v>
      </c>
      <c r="C560" s="133" t="s">
        <v>582</v>
      </c>
      <c r="D560" s="133" t="s">
        <v>419</v>
      </c>
      <c r="E560" s="116"/>
      <c r="F560" s="135">
        <v>0.145</v>
      </c>
      <c r="G560" s="118"/>
    </row>
    <row r="561">
      <c r="A561" s="132">
        <v>560.0</v>
      </c>
      <c r="B561" s="132" t="s">
        <v>571</v>
      </c>
      <c r="C561" s="133" t="s">
        <v>582</v>
      </c>
      <c r="D561" s="133" t="s">
        <v>420</v>
      </c>
      <c r="E561" s="116"/>
      <c r="F561" s="135">
        <v>0.145</v>
      </c>
      <c r="G561" s="118"/>
    </row>
    <row r="562">
      <c r="A562" s="132">
        <v>561.0</v>
      </c>
      <c r="B562" s="132" t="s">
        <v>585</v>
      </c>
      <c r="C562" s="133" t="s">
        <v>346</v>
      </c>
      <c r="D562" s="134"/>
      <c r="E562" s="116"/>
      <c r="F562" s="135">
        <v>0.145</v>
      </c>
      <c r="G562" s="118"/>
    </row>
    <row r="563">
      <c r="A563" s="132">
        <v>562.0</v>
      </c>
      <c r="B563" s="132" t="s">
        <v>585</v>
      </c>
      <c r="C563" s="133" t="s">
        <v>586</v>
      </c>
      <c r="D563" s="134"/>
      <c r="E563" s="116"/>
      <c r="F563" s="135">
        <v>0.145</v>
      </c>
      <c r="G563" s="118"/>
    </row>
    <row r="564">
      <c r="A564" s="132">
        <v>563.0</v>
      </c>
      <c r="B564" s="132" t="s">
        <v>585</v>
      </c>
      <c r="C564" s="133" t="s">
        <v>587</v>
      </c>
      <c r="D564" s="133" t="s">
        <v>588</v>
      </c>
      <c r="E564" s="116"/>
      <c r="F564" s="135">
        <v>0.145</v>
      </c>
      <c r="G564" s="118"/>
    </row>
    <row r="565">
      <c r="A565" s="132">
        <v>564.0</v>
      </c>
      <c r="B565" s="132" t="s">
        <v>585</v>
      </c>
      <c r="C565" s="133" t="s">
        <v>587</v>
      </c>
      <c r="D565" s="133" t="s">
        <v>589</v>
      </c>
      <c r="E565" s="116"/>
      <c r="F565" s="135">
        <v>0.145</v>
      </c>
      <c r="G565" s="118"/>
    </row>
    <row r="566">
      <c r="A566" s="132">
        <v>565.0</v>
      </c>
      <c r="B566" s="132" t="s">
        <v>585</v>
      </c>
      <c r="C566" s="133" t="s">
        <v>587</v>
      </c>
      <c r="D566" s="133" t="s">
        <v>590</v>
      </c>
      <c r="E566" s="116"/>
      <c r="F566" s="135">
        <v>0.145</v>
      </c>
      <c r="G566" s="118"/>
    </row>
    <row r="567">
      <c r="A567" s="132">
        <v>566.0</v>
      </c>
      <c r="B567" s="132" t="s">
        <v>585</v>
      </c>
      <c r="C567" s="133" t="s">
        <v>587</v>
      </c>
      <c r="D567" s="133" t="s">
        <v>591</v>
      </c>
      <c r="E567" s="116"/>
      <c r="F567" s="135">
        <v>0.145</v>
      </c>
      <c r="G567" s="118"/>
    </row>
    <row r="568">
      <c r="A568" s="132">
        <v>567.0</v>
      </c>
      <c r="B568" s="132" t="s">
        <v>585</v>
      </c>
      <c r="C568" s="133" t="s">
        <v>587</v>
      </c>
      <c r="D568" s="133" t="s">
        <v>592</v>
      </c>
      <c r="E568" s="116"/>
      <c r="F568" s="135">
        <v>0.145</v>
      </c>
      <c r="G568" s="118"/>
    </row>
    <row r="569">
      <c r="A569" s="132">
        <v>568.0</v>
      </c>
      <c r="B569" s="132" t="s">
        <v>585</v>
      </c>
      <c r="C569" s="133" t="s">
        <v>587</v>
      </c>
      <c r="D569" s="133" t="s">
        <v>62</v>
      </c>
      <c r="E569" s="116"/>
      <c r="F569" s="135">
        <v>0.145</v>
      </c>
      <c r="G569" s="118"/>
    </row>
    <row r="570">
      <c r="A570" s="132">
        <v>569.0</v>
      </c>
      <c r="B570" s="132" t="s">
        <v>585</v>
      </c>
      <c r="C570" s="133" t="s">
        <v>587</v>
      </c>
      <c r="D570" s="133" t="s">
        <v>593</v>
      </c>
      <c r="E570" s="116"/>
      <c r="F570" s="135">
        <v>0.145</v>
      </c>
      <c r="G570" s="118"/>
    </row>
    <row r="571">
      <c r="A571" s="132">
        <v>570.0</v>
      </c>
      <c r="B571" s="132" t="s">
        <v>585</v>
      </c>
      <c r="C571" s="133" t="s">
        <v>587</v>
      </c>
      <c r="D571" s="133" t="s">
        <v>594</v>
      </c>
      <c r="E571" s="116"/>
      <c r="F571" s="135">
        <v>0.145</v>
      </c>
      <c r="G571" s="118"/>
    </row>
    <row r="572">
      <c r="A572" s="132">
        <v>571.0</v>
      </c>
      <c r="B572" s="132" t="s">
        <v>585</v>
      </c>
      <c r="C572" s="133" t="s">
        <v>587</v>
      </c>
      <c r="D572" s="133" t="s">
        <v>595</v>
      </c>
      <c r="E572" s="116"/>
      <c r="F572" s="135">
        <v>0.145</v>
      </c>
      <c r="G572" s="118"/>
    </row>
    <row r="573">
      <c r="A573" s="132">
        <v>572.0</v>
      </c>
      <c r="B573" s="132" t="s">
        <v>585</v>
      </c>
      <c r="C573" s="133" t="s">
        <v>596</v>
      </c>
      <c r="D573" s="133" t="s">
        <v>597</v>
      </c>
      <c r="E573" s="116"/>
      <c r="F573" s="135">
        <v>0.145</v>
      </c>
      <c r="G573" s="118"/>
    </row>
    <row r="574">
      <c r="A574" s="132">
        <v>573.0</v>
      </c>
      <c r="B574" s="132" t="s">
        <v>585</v>
      </c>
      <c r="C574" s="133" t="s">
        <v>596</v>
      </c>
      <c r="D574" s="133" t="s">
        <v>62</v>
      </c>
      <c r="E574" s="116"/>
      <c r="F574" s="135">
        <v>0.145</v>
      </c>
      <c r="G574" s="118"/>
    </row>
    <row r="575">
      <c r="A575" s="132">
        <v>574.0</v>
      </c>
      <c r="B575" s="132" t="s">
        <v>585</v>
      </c>
      <c r="C575" s="133" t="s">
        <v>596</v>
      </c>
      <c r="D575" s="133" t="s">
        <v>598</v>
      </c>
      <c r="E575" s="116"/>
      <c r="F575" s="135">
        <v>0.145</v>
      </c>
      <c r="G575" s="118"/>
    </row>
    <row r="576">
      <c r="A576" s="132">
        <v>575.0</v>
      </c>
      <c r="B576" s="132" t="s">
        <v>585</v>
      </c>
      <c r="C576" s="133" t="s">
        <v>347</v>
      </c>
      <c r="D576" s="133" t="s">
        <v>599</v>
      </c>
      <c r="E576" s="116"/>
      <c r="F576" s="135">
        <v>0.145</v>
      </c>
      <c r="G576" s="118"/>
    </row>
    <row r="577">
      <c r="A577" s="132">
        <v>576.0</v>
      </c>
      <c r="B577" s="132" t="s">
        <v>585</v>
      </c>
      <c r="C577" s="133" t="s">
        <v>347</v>
      </c>
      <c r="D577" s="133" t="s">
        <v>600</v>
      </c>
      <c r="E577" s="116"/>
      <c r="F577" s="135">
        <v>0.145</v>
      </c>
      <c r="G577" s="118"/>
    </row>
    <row r="578">
      <c r="A578" s="132">
        <v>577.0</v>
      </c>
      <c r="B578" s="132" t="s">
        <v>585</v>
      </c>
      <c r="C578" s="133" t="s">
        <v>347</v>
      </c>
      <c r="D578" s="133" t="s">
        <v>601</v>
      </c>
      <c r="E578" s="116"/>
      <c r="F578" s="135">
        <v>0.145</v>
      </c>
      <c r="G578" s="118"/>
    </row>
    <row r="579">
      <c r="A579" s="132">
        <v>578.0</v>
      </c>
      <c r="B579" s="132" t="s">
        <v>585</v>
      </c>
      <c r="C579" s="133" t="s">
        <v>347</v>
      </c>
      <c r="D579" s="133" t="s">
        <v>62</v>
      </c>
      <c r="E579" s="116"/>
      <c r="F579" s="135">
        <v>0.145</v>
      </c>
      <c r="G579" s="118"/>
    </row>
    <row r="580">
      <c r="A580" s="132">
        <v>579.0</v>
      </c>
      <c r="B580" s="132" t="s">
        <v>585</v>
      </c>
      <c r="C580" s="133" t="s">
        <v>347</v>
      </c>
      <c r="D580" s="133" t="s">
        <v>602</v>
      </c>
      <c r="E580" s="116"/>
      <c r="F580" s="135">
        <v>0.145</v>
      </c>
      <c r="G580" s="118"/>
    </row>
    <row r="581">
      <c r="A581" s="132">
        <v>580.0</v>
      </c>
      <c r="B581" s="132" t="s">
        <v>585</v>
      </c>
      <c r="C581" s="133" t="s">
        <v>347</v>
      </c>
      <c r="D581" s="133" t="s">
        <v>342</v>
      </c>
      <c r="E581" s="116"/>
      <c r="F581" s="135">
        <v>0.145</v>
      </c>
      <c r="G581" s="118"/>
    </row>
    <row r="582">
      <c r="A582" s="132">
        <v>581.0</v>
      </c>
      <c r="B582" s="132" t="s">
        <v>585</v>
      </c>
      <c r="C582" s="133" t="s">
        <v>603</v>
      </c>
      <c r="D582" s="134"/>
      <c r="E582" s="116"/>
      <c r="F582" s="135">
        <v>0.145</v>
      </c>
      <c r="G582" s="118"/>
    </row>
    <row r="583">
      <c r="A583" s="132">
        <v>582.0</v>
      </c>
      <c r="B583" s="132" t="s">
        <v>585</v>
      </c>
      <c r="C583" s="133" t="s">
        <v>358</v>
      </c>
      <c r="D583" s="133" t="s">
        <v>604</v>
      </c>
      <c r="E583" s="116"/>
      <c r="F583" s="135">
        <v>0.145</v>
      </c>
      <c r="G583" s="118"/>
    </row>
    <row r="584">
      <c r="A584" s="132">
        <v>583.0</v>
      </c>
      <c r="B584" s="132" t="s">
        <v>585</v>
      </c>
      <c r="C584" s="133" t="s">
        <v>358</v>
      </c>
      <c r="D584" s="133" t="s">
        <v>62</v>
      </c>
      <c r="E584" s="116"/>
      <c r="F584" s="135">
        <v>0.145</v>
      </c>
      <c r="G584" s="118"/>
    </row>
    <row r="585">
      <c r="A585" s="132">
        <v>584.0</v>
      </c>
      <c r="B585" s="132" t="s">
        <v>585</v>
      </c>
      <c r="C585" s="133" t="s">
        <v>358</v>
      </c>
      <c r="D585" s="133" t="s">
        <v>605</v>
      </c>
      <c r="E585" s="116"/>
      <c r="F585" s="135">
        <v>0.145</v>
      </c>
      <c r="G585" s="118"/>
    </row>
    <row r="586">
      <c r="A586" s="132">
        <v>585.0</v>
      </c>
      <c r="B586" s="132" t="s">
        <v>585</v>
      </c>
      <c r="C586" s="133" t="s">
        <v>358</v>
      </c>
      <c r="D586" s="133" t="s">
        <v>606</v>
      </c>
      <c r="E586" s="116"/>
      <c r="F586" s="135">
        <v>0.145</v>
      </c>
      <c r="G586" s="118"/>
    </row>
    <row r="587">
      <c r="A587" s="132">
        <v>586.0</v>
      </c>
      <c r="B587" s="132" t="s">
        <v>585</v>
      </c>
      <c r="C587" s="133" t="s">
        <v>349</v>
      </c>
      <c r="D587" s="133" t="s">
        <v>607</v>
      </c>
      <c r="E587" s="116"/>
      <c r="F587" s="135">
        <v>0.145</v>
      </c>
      <c r="G587" s="118"/>
    </row>
    <row r="588">
      <c r="A588" s="132">
        <v>587.0</v>
      </c>
      <c r="B588" s="132" t="s">
        <v>585</v>
      </c>
      <c r="C588" s="133" t="s">
        <v>349</v>
      </c>
      <c r="D588" s="133" t="s">
        <v>608</v>
      </c>
      <c r="E588" s="116"/>
      <c r="F588" s="135">
        <v>0.145</v>
      </c>
      <c r="G588" s="118"/>
    </row>
    <row r="589">
      <c r="A589" s="132">
        <v>588.0</v>
      </c>
      <c r="B589" s="132" t="s">
        <v>585</v>
      </c>
      <c r="C589" s="133" t="s">
        <v>349</v>
      </c>
      <c r="D589" s="133" t="s">
        <v>62</v>
      </c>
      <c r="E589" s="116"/>
      <c r="F589" s="135">
        <v>0.145</v>
      </c>
      <c r="G589" s="118"/>
    </row>
    <row r="590">
      <c r="A590" s="132">
        <v>589.0</v>
      </c>
      <c r="B590" s="132" t="s">
        <v>585</v>
      </c>
      <c r="C590" s="133" t="s">
        <v>349</v>
      </c>
      <c r="D590" s="133" t="s">
        <v>428</v>
      </c>
      <c r="E590" s="116"/>
      <c r="F590" s="135">
        <v>0.145</v>
      </c>
      <c r="G590" s="118"/>
    </row>
    <row r="591">
      <c r="A591" s="132">
        <v>590.0</v>
      </c>
      <c r="B591" s="132" t="s">
        <v>585</v>
      </c>
      <c r="C591" s="133" t="s">
        <v>349</v>
      </c>
      <c r="D591" s="133" t="s">
        <v>609</v>
      </c>
      <c r="E591" s="116"/>
      <c r="F591" s="135">
        <v>0.145</v>
      </c>
      <c r="G591" s="118"/>
    </row>
    <row r="592">
      <c r="A592" s="132">
        <v>591.0</v>
      </c>
      <c r="B592" s="132" t="s">
        <v>585</v>
      </c>
      <c r="C592" s="133" t="s">
        <v>349</v>
      </c>
      <c r="D592" s="133" t="s">
        <v>610</v>
      </c>
      <c r="E592" s="116"/>
      <c r="F592" s="135">
        <v>0.145</v>
      </c>
      <c r="G592" s="118"/>
    </row>
    <row r="593">
      <c r="A593" s="132">
        <v>592.0</v>
      </c>
      <c r="B593" s="132" t="s">
        <v>585</v>
      </c>
      <c r="C593" s="133" t="s">
        <v>349</v>
      </c>
      <c r="D593" s="133" t="s">
        <v>611</v>
      </c>
      <c r="E593" s="116"/>
      <c r="F593" s="135">
        <v>0.145</v>
      </c>
      <c r="G593" s="118"/>
    </row>
    <row r="594">
      <c r="A594" s="132">
        <v>593.0</v>
      </c>
      <c r="B594" s="132" t="s">
        <v>585</v>
      </c>
      <c r="C594" s="133" t="s">
        <v>349</v>
      </c>
      <c r="D594" s="133" t="s">
        <v>612</v>
      </c>
      <c r="E594" s="116"/>
      <c r="F594" s="135">
        <v>0.145</v>
      </c>
      <c r="G594" s="118"/>
    </row>
    <row r="595">
      <c r="A595" s="132">
        <v>594.0</v>
      </c>
      <c r="B595" s="132" t="s">
        <v>585</v>
      </c>
      <c r="C595" s="133" t="s">
        <v>349</v>
      </c>
      <c r="D595" s="133" t="s">
        <v>426</v>
      </c>
      <c r="E595" s="116"/>
      <c r="F595" s="135">
        <v>0.145</v>
      </c>
      <c r="G595" s="118"/>
    </row>
    <row r="596">
      <c r="A596" s="132">
        <v>595.0</v>
      </c>
      <c r="B596" s="132" t="s">
        <v>585</v>
      </c>
      <c r="C596" s="133" t="s">
        <v>613</v>
      </c>
      <c r="D596" s="133" t="s">
        <v>614</v>
      </c>
      <c r="E596" s="116"/>
      <c r="F596" s="135">
        <v>0.145</v>
      </c>
      <c r="G596" s="118"/>
    </row>
    <row r="597">
      <c r="A597" s="132">
        <v>596.0</v>
      </c>
      <c r="B597" s="132" t="s">
        <v>585</v>
      </c>
      <c r="C597" s="133" t="s">
        <v>613</v>
      </c>
      <c r="D597" s="133" t="s">
        <v>615</v>
      </c>
      <c r="E597" s="116"/>
      <c r="F597" s="135">
        <v>0.145</v>
      </c>
      <c r="G597" s="118"/>
    </row>
    <row r="598">
      <c r="A598" s="132">
        <v>597.0</v>
      </c>
      <c r="B598" s="132" t="s">
        <v>585</v>
      </c>
      <c r="C598" s="133" t="s">
        <v>613</v>
      </c>
      <c r="D598" s="133" t="s">
        <v>616</v>
      </c>
      <c r="E598" s="116"/>
      <c r="F598" s="135">
        <v>0.145</v>
      </c>
      <c r="G598" s="118"/>
    </row>
    <row r="599">
      <c r="A599" s="132">
        <v>598.0</v>
      </c>
      <c r="B599" s="132" t="s">
        <v>585</v>
      </c>
      <c r="C599" s="133" t="s">
        <v>613</v>
      </c>
      <c r="D599" s="133" t="s">
        <v>617</v>
      </c>
      <c r="E599" s="116"/>
      <c r="F599" s="135">
        <v>0.145</v>
      </c>
      <c r="G599" s="118"/>
    </row>
    <row r="600">
      <c r="A600" s="132">
        <v>599.0</v>
      </c>
      <c r="B600" s="132" t="s">
        <v>585</v>
      </c>
      <c r="C600" s="133" t="s">
        <v>613</v>
      </c>
      <c r="D600" s="133" t="s">
        <v>618</v>
      </c>
      <c r="E600" s="116"/>
      <c r="F600" s="135">
        <v>0.145</v>
      </c>
      <c r="G600" s="118"/>
    </row>
    <row r="601">
      <c r="A601" s="132">
        <v>600.0</v>
      </c>
      <c r="B601" s="132" t="s">
        <v>585</v>
      </c>
      <c r="C601" s="133" t="s">
        <v>613</v>
      </c>
      <c r="D601" s="133" t="s">
        <v>619</v>
      </c>
      <c r="E601" s="116"/>
      <c r="F601" s="135">
        <v>0.145</v>
      </c>
      <c r="G601" s="118"/>
    </row>
    <row r="602">
      <c r="A602" s="132">
        <v>601.0</v>
      </c>
      <c r="B602" s="132" t="s">
        <v>585</v>
      </c>
      <c r="C602" s="133" t="s">
        <v>613</v>
      </c>
      <c r="D602" s="133" t="s">
        <v>62</v>
      </c>
      <c r="E602" s="116"/>
      <c r="F602" s="135">
        <v>0.145</v>
      </c>
      <c r="G602" s="118"/>
    </row>
    <row r="603">
      <c r="A603" s="132">
        <v>602.0</v>
      </c>
      <c r="B603" s="132" t="s">
        <v>585</v>
      </c>
      <c r="C603" s="133" t="s">
        <v>62</v>
      </c>
      <c r="D603" s="134"/>
      <c r="E603" s="116"/>
      <c r="F603" s="135">
        <v>0.145</v>
      </c>
      <c r="G603" s="118"/>
    </row>
    <row r="604">
      <c r="A604" s="132">
        <v>603.0</v>
      </c>
      <c r="B604" s="132" t="s">
        <v>585</v>
      </c>
      <c r="C604" s="133" t="s">
        <v>345</v>
      </c>
      <c r="D604" s="133" t="s">
        <v>620</v>
      </c>
      <c r="E604" s="116"/>
      <c r="F604" s="135">
        <v>0.145</v>
      </c>
      <c r="G604" s="118"/>
    </row>
    <row r="605">
      <c r="A605" s="132">
        <v>604.0</v>
      </c>
      <c r="B605" s="132" t="s">
        <v>585</v>
      </c>
      <c r="C605" s="133" t="s">
        <v>345</v>
      </c>
      <c r="D605" s="133" t="s">
        <v>62</v>
      </c>
      <c r="E605" s="116"/>
      <c r="F605" s="135">
        <v>0.145</v>
      </c>
      <c r="G605" s="118"/>
    </row>
    <row r="606">
      <c r="A606" s="132">
        <v>605.0</v>
      </c>
      <c r="B606" s="132" t="s">
        <v>585</v>
      </c>
      <c r="C606" s="133" t="s">
        <v>345</v>
      </c>
      <c r="D606" s="133" t="s">
        <v>433</v>
      </c>
      <c r="E606" s="116"/>
      <c r="F606" s="135">
        <v>0.145</v>
      </c>
      <c r="G606" s="118"/>
    </row>
    <row r="607">
      <c r="A607" s="132">
        <v>606.0</v>
      </c>
      <c r="B607" s="132" t="s">
        <v>585</v>
      </c>
      <c r="C607" s="133" t="s">
        <v>436</v>
      </c>
      <c r="D607" s="133" t="s">
        <v>621</v>
      </c>
      <c r="E607" s="116"/>
      <c r="F607" s="135">
        <v>0.145</v>
      </c>
      <c r="G607" s="118"/>
    </row>
    <row r="608">
      <c r="A608" s="132">
        <v>607.0</v>
      </c>
      <c r="B608" s="132" t="s">
        <v>585</v>
      </c>
      <c r="C608" s="133" t="s">
        <v>436</v>
      </c>
      <c r="D608" s="133" t="s">
        <v>622</v>
      </c>
      <c r="E608" s="116"/>
      <c r="F608" s="135">
        <v>0.145</v>
      </c>
      <c r="G608" s="118"/>
    </row>
    <row r="609">
      <c r="A609" s="132">
        <v>608.0</v>
      </c>
      <c r="B609" s="132" t="s">
        <v>585</v>
      </c>
      <c r="C609" s="133" t="s">
        <v>436</v>
      </c>
      <c r="D609" s="133" t="s">
        <v>623</v>
      </c>
      <c r="E609" s="116"/>
      <c r="F609" s="135">
        <v>0.145</v>
      </c>
      <c r="G609" s="118"/>
    </row>
    <row r="610">
      <c r="A610" s="132">
        <v>609.0</v>
      </c>
      <c r="B610" s="132" t="s">
        <v>585</v>
      </c>
      <c r="C610" s="133" t="s">
        <v>436</v>
      </c>
      <c r="D610" s="133" t="s">
        <v>62</v>
      </c>
      <c r="E610" s="116"/>
      <c r="F610" s="135">
        <v>0.145</v>
      </c>
      <c r="G610" s="118"/>
    </row>
    <row r="611">
      <c r="A611" s="132">
        <v>610.0</v>
      </c>
      <c r="B611" s="132" t="s">
        <v>585</v>
      </c>
      <c r="C611" s="133" t="s">
        <v>437</v>
      </c>
      <c r="D611" s="133" t="s">
        <v>62</v>
      </c>
      <c r="E611" s="116"/>
      <c r="F611" s="135">
        <v>0.145</v>
      </c>
      <c r="G611" s="118"/>
    </row>
    <row r="612">
      <c r="A612" s="132">
        <v>611.0</v>
      </c>
      <c r="B612" s="132" t="s">
        <v>585</v>
      </c>
      <c r="C612" s="133" t="s">
        <v>437</v>
      </c>
      <c r="D612" s="133" t="s">
        <v>437</v>
      </c>
      <c r="E612" s="116"/>
      <c r="F612" s="135">
        <v>0.145</v>
      </c>
      <c r="G612" s="118"/>
    </row>
    <row r="613">
      <c r="A613" s="132">
        <v>612.0</v>
      </c>
      <c r="B613" s="132" t="s">
        <v>585</v>
      </c>
      <c r="C613" s="133" t="s">
        <v>437</v>
      </c>
      <c r="D613" s="133" t="s">
        <v>624</v>
      </c>
      <c r="E613" s="116"/>
      <c r="F613" s="135">
        <v>0.145</v>
      </c>
      <c r="G613" s="118"/>
    </row>
    <row r="614">
      <c r="A614" s="132">
        <v>613.0</v>
      </c>
      <c r="B614" s="132" t="s">
        <v>585</v>
      </c>
      <c r="C614" s="133" t="s">
        <v>336</v>
      </c>
      <c r="D614" s="134"/>
      <c r="E614" s="116"/>
      <c r="F614" s="135">
        <v>0.145</v>
      </c>
      <c r="G614" s="118"/>
    </row>
    <row r="615">
      <c r="A615" s="132">
        <v>614.0</v>
      </c>
      <c r="B615" s="132" t="s">
        <v>585</v>
      </c>
      <c r="C615" s="133" t="s">
        <v>339</v>
      </c>
      <c r="D615" s="133" t="s">
        <v>625</v>
      </c>
      <c r="E615" s="116"/>
      <c r="F615" s="135">
        <v>0.145</v>
      </c>
      <c r="G615" s="118"/>
    </row>
    <row r="616">
      <c r="A616" s="132">
        <v>615.0</v>
      </c>
      <c r="B616" s="132" t="s">
        <v>585</v>
      </c>
      <c r="C616" s="133" t="s">
        <v>339</v>
      </c>
      <c r="D616" s="133" t="s">
        <v>626</v>
      </c>
      <c r="E616" s="116"/>
      <c r="F616" s="135">
        <v>0.145</v>
      </c>
      <c r="G616" s="118"/>
    </row>
    <row r="617">
      <c r="A617" s="132">
        <v>616.0</v>
      </c>
      <c r="B617" s="132" t="s">
        <v>585</v>
      </c>
      <c r="C617" s="133" t="s">
        <v>339</v>
      </c>
      <c r="D617" s="133" t="s">
        <v>62</v>
      </c>
      <c r="E617" s="116"/>
      <c r="F617" s="135">
        <v>0.145</v>
      </c>
      <c r="G617" s="118"/>
    </row>
    <row r="618">
      <c r="A618" s="132">
        <v>617.0</v>
      </c>
      <c r="B618" s="132" t="s">
        <v>585</v>
      </c>
      <c r="C618" s="133" t="s">
        <v>339</v>
      </c>
      <c r="D618" s="133" t="s">
        <v>627</v>
      </c>
      <c r="E618" s="116"/>
      <c r="F618" s="135">
        <v>0.145</v>
      </c>
      <c r="G618" s="118"/>
    </row>
    <row r="619">
      <c r="A619" s="132">
        <v>618.0</v>
      </c>
      <c r="B619" s="132" t="s">
        <v>585</v>
      </c>
      <c r="C619" s="133" t="s">
        <v>438</v>
      </c>
      <c r="D619" s="133" t="s">
        <v>62</v>
      </c>
      <c r="E619" s="116"/>
      <c r="F619" s="135">
        <v>0.145</v>
      </c>
      <c r="G619" s="118"/>
    </row>
    <row r="620">
      <c r="A620" s="132">
        <v>619.0</v>
      </c>
      <c r="B620" s="132" t="s">
        <v>585</v>
      </c>
      <c r="C620" s="133" t="s">
        <v>438</v>
      </c>
      <c r="D620" s="133" t="s">
        <v>628</v>
      </c>
      <c r="E620" s="116"/>
      <c r="F620" s="135">
        <v>0.145</v>
      </c>
      <c r="G620" s="118"/>
    </row>
    <row r="621">
      <c r="A621" s="132">
        <v>620.0</v>
      </c>
      <c r="B621" s="132" t="s">
        <v>585</v>
      </c>
      <c r="C621" s="133" t="s">
        <v>438</v>
      </c>
      <c r="D621" s="133" t="s">
        <v>331</v>
      </c>
      <c r="E621" s="116"/>
      <c r="F621" s="135">
        <v>0.145</v>
      </c>
      <c r="G621" s="118"/>
    </row>
    <row r="622">
      <c r="A622" s="132">
        <v>621.0</v>
      </c>
      <c r="B622" s="132" t="s">
        <v>585</v>
      </c>
      <c r="C622" s="133" t="s">
        <v>444</v>
      </c>
      <c r="D622" s="134"/>
      <c r="E622" s="116"/>
      <c r="F622" s="135">
        <v>0.145</v>
      </c>
      <c r="G622" s="118"/>
    </row>
    <row r="623">
      <c r="A623" s="132">
        <v>622.0</v>
      </c>
      <c r="B623" s="132" t="s">
        <v>585</v>
      </c>
      <c r="C623" s="133" t="s">
        <v>341</v>
      </c>
      <c r="D623" s="133" t="s">
        <v>629</v>
      </c>
      <c r="E623" s="116"/>
      <c r="F623" s="135">
        <v>0.145</v>
      </c>
      <c r="G623" s="118"/>
    </row>
    <row r="624">
      <c r="A624" s="132">
        <v>623.0</v>
      </c>
      <c r="B624" s="132" t="s">
        <v>585</v>
      </c>
      <c r="C624" s="133" t="s">
        <v>341</v>
      </c>
      <c r="D624" s="133" t="s">
        <v>62</v>
      </c>
      <c r="E624" s="116"/>
      <c r="F624" s="135">
        <v>0.145</v>
      </c>
      <c r="G624" s="118"/>
    </row>
    <row r="625">
      <c r="A625" s="132">
        <v>624.0</v>
      </c>
      <c r="B625" s="132" t="s">
        <v>585</v>
      </c>
      <c r="C625" s="133" t="s">
        <v>341</v>
      </c>
      <c r="D625" s="133" t="s">
        <v>445</v>
      </c>
      <c r="E625" s="116"/>
      <c r="F625" s="135">
        <v>0.145</v>
      </c>
      <c r="G625" s="118"/>
    </row>
    <row r="626">
      <c r="A626" s="132">
        <v>625.0</v>
      </c>
      <c r="B626" s="132" t="s">
        <v>585</v>
      </c>
      <c r="C626" s="133" t="s">
        <v>341</v>
      </c>
      <c r="D626" s="133" t="s">
        <v>446</v>
      </c>
      <c r="E626" s="116"/>
      <c r="F626" s="135">
        <v>0.145</v>
      </c>
      <c r="G626" s="118"/>
    </row>
    <row r="627">
      <c r="A627" s="132">
        <v>626.0</v>
      </c>
      <c r="B627" s="132" t="s">
        <v>585</v>
      </c>
      <c r="C627" s="133" t="s">
        <v>341</v>
      </c>
      <c r="D627" s="133" t="s">
        <v>447</v>
      </c>
      <c r="E627" s="116"/>
      <c r="F627" s="135">
        <v>0.145</v>
      </c>
      <c r="G627" s="118"/>
    </row>
    <row r="628">
      <c r="A628" s="132">
        <v>627.0</v>
      </c>
      <c r="B628" s="132" t="s">
        <v>585</v>
      </c>
      <c r="C628" s="133" t="s">
        <v>341</v>
      </c>
      <c r="D628" s="133" t="s">
        <v>630</v>
      </c>
      <c r="E628" s="116"/>
      <c r="F628" s="135">
        <v>0.145</v>
      </c>
      <c r="G628" s="118"/>
    </row>
    <row r="629">
      <c r="A629" s="132">
        <v>628.0</v>
      </c>
      <c r="B629" s="132" t="s">
        <v>585</v>
      </c>
      <c r="C629" s="133" t="s">
        <v>341</v>
      </c>
      <c r="D629" s="133" t="s">
        <v>631</v>
      </c>
      <c r="E629" s="116"/>
      <c r="F629" s="135">
        <v>0.145</v>
      </c>
      <c r="G629" s="118"/>
    </row>
    <row r="630">
      <c r="A630" s="132">
        <v>629.0</v>
      </c>
      <c r="B630" s="132" t="s">
        <v>585</v>
      </c>
      <c r="C630" s="133" t="s">
        <v>632</v>
      </c>
      <c r="D630" s="133" t="s">
        <v>633</v>
      </c>
      <c r="E630" s="116"/>
      <c r="F630" s="135">
        <v>0.145</v>
      </c>
      <c r="G630" s="118"/>
    </row>
    <row r="631">
      <c r="A631" s="132">
        <v>630.0</v>
      </c>
      <c r="B631" s="132" t="s">
        <v>585</v>
      </c>
      <c r="C631" s="133" t="s">
        <v>632</v>
      </c>
      <c r="D631" s="133" t="s">
        <v>586</v>
      </c>
      <c r="E631" s="116"/>
      <c r="F631" s="135">
        <v>0.145</v>
      </c>
      <c r="G631" s="118"/>
    </row>
    <row r="632">
      <c r="A632" s="132">
        <v>631.0</v>
      </c>
      <c r="B632" s="132" t="s">
        <v>585</v>
      </c>
      <c r="C632" s="133" t="s">
        <v>632</v>
      </c>
      <c r="D632" s="133" t="s">
        <v>62</v>
      </c>
      <c r="E632" s="116"/>
      <c r="F632" s="135">
        <v>0.145</v>
      </c>
      <c r="G632" s="118"/>
    </row>
    <row r="633">
      <c r="A633" s="132">
        <v>632.0</v>
      </c>
      <c r="B633" s="132" t="s">
        <v>585</v>
      </c>
      <c r="C633" s="133" t="s">
        <v>632</v>
      </c>
      <c r="D633" s="133" t="s">
        <v>436</v>
      </c>
      <c r="E633" s="116"/>
      <c r="F633" s="135">
        <v>0.145</v>
      </c>
      <c r="G633" s="118"/>
    </row>
    <row r="634">
      <c r="A634" s="132">
        <v>633.0</v>
      </c>
      <c r="B634" s="132" t="s">
        <v>585</v>
      </c>
      <c r="C634" s="133" t="s">
        <v>632</v>
      </c>
      <c r="D634" s="133" t="s">
        <v>341</v>
      </c>
      <c r="E634" s="116"/>
      <c r="F634" s="135">
        <v>0.145</v>
      </c>
      <c r="G634" s="118"/>
    </row>
    <row r="635">
      <c r="A635" s="132">
        <v>634.0</v>
      </c>
      <c r="B635" s="132" t="s">
        <v>585</v>
      </c>
      <c r="C635" s="133" t="s">
        <v>634</v>
      </c>
      <c r="D635" s="134"/>
      <c r="E635" s="116"/>
      <c r="F635" s="135">
        <v>0.145</v>
      </c>
      <c r="G635" s="118"/>
    </row>
    <row r="636">
      <c r="A636" s="132">
        <v>635.0</v>
      </c>
      <c r="B636" s="132" t="s">
        <v>635</v>
      </c>
      <c r="C636" s="133" t="s">
        <v>351</v>
      </c>
      <c r="D636" s="133" t="s">
        <v>451</v>
      </c>
      <c r="E636" s="116"/>
      <c r="F636" s="135">
        <v>0.137</v>
      </c>
      <c r="G636" s="118"/>
    </row>
    <row r="637">
      <c r="A637" s="132">
        <v>636.0</v>
      </c>
      <c r="B637" s="132" t="s">
        <v>635</v>
      </c>
      <c r="C637" s="133" t="s">
        <v>351</v>
      </c>
      <c r="D637" s="133" t="s">
        <v>62</v>
      </c>
      <c r="E637" s="116"/>
      <c r="F637" s="135">
        <v>0.137</v>
      </c>
      <c r="G637" s="118"/>
    </row>
    <row r="638">
      <c r="A638" s="132">
        <v>637.0</v>
      </c>
      <c r="B638" s="132" t="s">
        <v>635</v>
      </c>
      <c r="C638" s="133" t="s">
        <v>351</v>
      </c>
      <c r="D638" s="133" t="s">
        <v>452</v>
      </c>
      <c r="E638" s="116"/>
      <c r="F638" s="135">
        <v>0.137</v>
      </c>
      <c r="G638" s="118"/>
    </row>
    <row r="639">
      <c r="A639" s="132">
        <v>638.0</v>
      </c>
      <c r="B639" s="132" t="s">
        <v>635</v>
      </c>
      <c r="C639" s="133" t="s">
        <v>636</v>
      </c>
      <c r="D639" s="133" t="s">
        <v>637</v>
      </c>
      <c r="E639" s="116"/>
      <c r="F639" s="135">
        <v>0.145</v>
      </c>
      <c r="G639" s="118"/>
    </row>
    <row r="640">
      <c r="A640" s="132">
        <v>639.0</v>
      </c>
      <c r="B640" s="132" t="s">
        <v>635</v>
      </c>
      <c r="C640" s="133" t="s">
        <v>636</v>
      </c>
      <c r="D640" s="133" t="s">
        <v>638</v>
      </c>
      <c r="E640" s="116"/>
      <c r="F640" s="135">
        <v>0.145</v>
      </c>
      <c r="G640" s="118"/>
    </row>
    <row r="641">
      <c r="A641" s="132">
        <v>640.0</v>
      </c>
      <c r="B641" s="132" t="s">
        <v>635</v>
      </c>
      <c r="C641" s="133" t="s">
        <v>636</v>
      </c>
      <c r="D641" s="133" t="s">
        <v>458</v>
      </c>
      <c r="E641" s="116"/>
      <c r="F641" s="135">
        <v>0.145</v>
      </c>
      <c r="G641" s="118"/>
    </row>
    <row r="642">
      <c r="A642" s="132">
        <v>641.0</v>
      </c>
      <c r="B642" s="132" t="s">
        <v>635</v>
      </c>
      <c r="C642" s="133" t="s">
        <v>636</v>
      </c>
      <c r="D642" s="133" t="s">
        <v>459</v>
      </c>
      <c r="E642" s="116"/>
      <c r="F642" s="135">
        <v>0.145</v>
      </c>
      <c r="G642" s="118"/>
    </row>
    <row r="643">
      <c r="A643" s="132">
        <v>642.0</v>
      </c>
      <c r="B643" s="132" t="s">
        <v>635</v>
      </c>
      <c r="C643" s="133" t="s">
        <v>636</v>
      </c>
      <c r="D643" s="133" t="s">
        <v>62</v>
      </c>
      <c r="E643" s="116"/>
      <c r="F643" s="135">
        <v>0.145</v>
      </c>
      <c r="G643" s="118"/>
    </row>
    <row r="644">
      <c r="A644" s="132">
        <v>643.0</v>
      </c>
      <c r="B644" s="132" t="s">
        <v>635</v>
      </c>
      <c r="C644" s="133" t="s">
        <v>639</v>
      </c>
      <c r="D644" s="133" t="s">
        <v>640</v>
      </c>
      <c r="E644" s="116"/>
      <c r="F644" s="135">
        <v>0.145</v>
      </c>
      <c r="G644" s="118"/>
    </row>
    <row r="645">
      <c r="A645" s="132">
        <v>644.0</v>
      </c>
      <c r="B645" s="132" t="s">
        <v>635</v>
      </c>
      <c r="C645" s="133" t="s">
        <v>639</v>
      </c>
      <c r="D645" s="133" t="s">
        <v>354</v>
      </c>
      <c r="E645" s="116"/>
      <c r="F645" s="135">
        <v>0.126</v>
      </c>
      <c r="G645" s="118"/>
    </row>
    <row r="646">
      <c r="A646" s="132">
        <v>645.0</v>
      </c>
      <c r="B646" s="132" t="s">
        <v>635</v>
      </c>
      <c r="C646" s="133" t="s">
        <v>639</v>
      </c>
      <c r="D646" s="133" t="s">
        <v>62</v>
      </c>
      <c r="E646" s="116"/>
      <c r="F646" s="135">
        <v>0.126</v>
      </c>
      <c r="G646" s="118"/>
    </row>
    <row r="647">
      <c r="A647" s="132">
        <v>646.0</v>
      </c>
      <c r="B647" s="132" t="s">
        <v>635</v>
      </c>
      <c r="C647" s="133" t="s">
        <v>639</v>
      </c>
      <c r="D647" s="133" t="s">
        <v>641</v>
      </c>
      <c r="E647" s="116"/>
      <c r="F647" s="135">
        <v>0.137</v>
      </c>
      <c r="G647" s="118"/>
    </row>
    <row r="648">
      <c r="A648" s="132">
        <v>647.0</v>
      </c>
      <c r="B648" s="132" t="s">
        <v>635</v>
      </c>
      <c r="C648" s="133" t="s">
        <v>639</v>
      </c>
      <c r="D648" s="133" t="s">
        <v>642</v>
      </c>
      <c r="E648" s="116"/>
      <c r="F648" s="135">
        <v>0.145</v>
      </c>
      <c r="G648" s="118"/>
    </row>
    <row r="649">
      <c r="A649" s="132">
        <v>648.0</v>
      </c>
      <c r="B649" s="132" t="s">
        <v>635</v>
      </c>
      <c r="C649" s="133" t="s">
        <v>643</v>
      </c>
      <c r="D649" s="134"/>
      <c r="E649" s="116"/>
      <c r="F649" s="135">
        <v>0.145</v>
      </c>
      <c r="G649" s="118"/>
    </row>
    <row r="650">
      <c r="A650" s="132">
        <v>649.0</v>
      </c>
      <c r="B650" s="132" t="s">
        <v>635</v>
      </c>
      <c r="C650" s="133" t="s">
        <v>62</v>
      </c>
      <c r="D650" s="134"/>
      <c r="E650" s="116"/>
      <c r="F650" s="135">
        <v>0.126</v>
      </c>
      <c r="G650" s="118"/>
    </row>
    <row r="651">
      <c r="A651" s="132">
        <v>650.0</v>
      </c>
      <c r="B651" s="132" t="s">
        <v>635</v>
      </c>
      <c r="C651" s="133" t="s">
        <v>644</v>
      </c>
      <c r="D651" s="133" t="s">
        <v>645</v>
      </c>
      <c r="E651" s="116"/>
      <c r="F651" s="135">
        <v>0.145</v>
      </c>
      <c r="G651" s="118"/>
    </row>
    <row r="652">
      <c r="A652" s="132">
        <v>651.0</v>
      </c>
      <c r="B652" s="132" t="s">
        <v>635</v>
      </c>
      <c r="C652" s="133" t="s">
        <v>644</v>
      </c>
      <c r="D652" s="133" t="s">
        <v>62</v>
      </c>
      <c r="E652" s="116"/>
      <c r="F652" s="135">
        <v>0.145</v>
      </c>
      <c r="G652" s="118"/>
    </row>
    <row r="653">
      <c r="A653" s="132">
        <v>652.0</v>
      </c>
      <c r="B653" s="132" t="s">
        <v>635</v>
      </c>
      <c r="C653" s="133" t="s">
        <v>644</v>
      </c>
      <c r="D653" s="133" t="s">
        <v>646</v>
      </c>
      <c r="E653" s="116"/>
      <c r="F653" s="135">
        <v>0.137</v>
      </c>
      <c r="G653" s="118"/>
    </row>
    <row r="654">
      <c r="A654" s="132">
        <v>653.0</v>
      </c>
      <c r="B654" s="132" t="s">
        <v>635</v>
      </c>
      <c r="C654" s="133" t="s">
        <v>644</v>
      </c>
      <c r="D654" s="133" t="s">
        <v>647</v>
      </c>
      <c r="E654" s="116"/>
      <c r="F654" s="135">
        <v>0.137</v>
      </c>
      <c r="G654" s="118"/>
    </row>
    <row r="655">
      <c r="A655" s="132">
        <v>654.0</v>
      </c>
      <c r="B655" s="132" t="s">
        <v>635</v>
      </c>
      <c r="C655" s="133" t="s">
        <v>644</v>
      </c>
      <c r="D655" s="133" t="s">
        <v>464</v>
      </c>
      <c r="E655" s="116"/>
      <c r="F655" s="135">
        <v>0.137</v>
      </c>
      <c r="G655" s="118"/>
    </row>
    <row r="656">
      <c r="A656" s="132">
        <v>655.0</v>
      </c>
      <c r="B656" s="132" t="s">
        <v>635</v>
      </c>
      <c r="C656" s="133" t="s">
        <v>644</v>
      </c>
      <c r="D656" s="133" t="s">
        <v>466</v>
      </c>
      <c r="E656" s="116"/>
      <c r="F656" s="135">
        <v>0.137</v>
      </c>
      <c r="G656" s="118"/>
    </row>
    <row r="657">
      <c r="A657" s="132">
        <v>656.0</v>
      </c>
      <c r="B657" s="132" t="s">
        <v>635</v>
      </c>
      <c r="C657" s="133" t="s">
        <v>648</v>
      </c>
      <c r="D657" s="134"/>
      <c r="E657" s="116"/>
      <c r="F657" s="135">
        <v>0.137</v>
      </c>
      <c r="G657" s="118"/>
    </row>
    <row r="658">
      <c r="A658" s="132">
        <v>657.0</v>
      </c>
      <c r="B658" s="132" t="s">
        <v>635</v>
      </c>
      <c r="C658" s="133" t="s">
        <v>649</v>
      </c>
      <c r="D658" s="134"/>
      <c r="E658" s="116"/>
      <c r="F658" s="135">
        <v>0.137</v>
      </c>
      <c r="G658" s="118"/>
    </row>
    <row r="659">
      <c r="A659" s="132">
        <v>658.0</v>
      </c>
      <c r="B659" s="132" t="s">
        <v>650</v>
      </c>
      <c r="C659" s="133" t="s">
        <v>651</v>
      </c>
      <c r="D659" s="133" t="s">
        <v>652</v>
      </c>
      <c r="E659" s="116"/>
      <c r="F659" s="135">
        <v>0.142</v>
      </c>
      <c r="G659" s="118"/>
    </row>
    <row r="660">
      <c r="A660" s="132">
        <v>659.0</v>
      </c>
      <c r="B660" s="132" t="s">
        <v>650</v>
      </c>
      <c r="C660" s="133" t="s">
        <v>653</v>
      </c>
      <c r="D660" s="133" t="s">
        <v>654</v>
      </c>
      <c r="E660" s="116"/>
      <c r="F660" s="135">
        <v>0.145</v>
      </c>
      <c r="G660" s="118"/>
    </row>
    <row r="661">
      <c r="A661" s="132">
        <v>660.0</v>
      </c>
      <c r="B661" s="132" t="s">
        <v>650</v>
      </c>
      <c r="C661" s="133" t="s">
        <v>653</v>
      </c>
      <c r="D661" s="133" t="s">
        <v>655</v>
      </c>
      <c r="E661" s="116"/>
      <c r="F661" s="135">
        <v>0.145</v>
      </c>
      <c r="G661" s="118"/>
    </row>
    <row r="662">
      <c r="A662" s="132">
        <v>661.0</v>
      </c>
      <c r="B662" s="132" t="s">
        <v>650</v>
      </c>
      <c r="C662" s="133" t="s">
        <v>653</v>
      </c>
      <c r="D662" s="133" t="s">
        <v>656</v>
      </c>
      <c r="E662" s="116"/>
      <c r="F662" s="135">
        <v>0.137</v>
      </c>
      <c r="G662" s="118"/>
    </row>
    <row r="663">
      <c r="A663" s="132">
        <v>662.0</v>
      </c>
      <c r="B663" s="132" t="s">
        <v>650</v>
      </c>
      <c r="C663" s="133" t="s">
        <v>653</v>
      </c>
      <c r="D663" s="133" t="s">
        <v>657</v>
      </c>
      <c r="E663" s="116"/>
      <c r="F663" s="135">
        <v>0.145</v>
      </c>
      <c r="G663" s="118"/>
    </row>
    <row r="664">
      <c r="A664" s="132">
        <v>663.0</v>
      </c>
      <c r="B664" s="132" t="s">
        <v>650</v>
      </c>
      <c r="C664" s="133" t="s">
        <v>653</v>
      </c>
      <c r="D664" s="133" t="s">
        <v>658</v>
      </c>
      <c r="E664" s="116"/>
      <c r="F664" s="135">
        <v>0.137</v>
      </c>
      <c r="G664" s="118"/>
    </row>
    <row r="665">
      <c r="A665" s="132">
        <v>664.0</v>
      </c>
      <c r="B665" s="132" t="s">
        <v>650</v>
      </c>
      <c r="C665" s="133" t="s">
        <v>653</v>
      </c>
      <c r="D665" s="133" t="s">
        <v>62</v>
      </c>
      <c r="E665" s="116"/>
      <c r="F665" s="135">
        <v>0.145</v>
      </c>
      <c r="G665" s="118"/>
    </row>
    <row r="666">
      <c r="A666" s="132">
        <v>665.0</v>
      </c>
      <c r="B666" s="132" t="s">
        <v>650</v>
      </c>
      <c r="C666" s="133" t="s">
        <v>653</v>
      </c>
      <c r="D666" s="133" t="s">
        <v>659</v>
      </c>
      <c r="E666" s="116"/>
      <c r="F666" s="135">
        <v>0.145</v>
      </c>
      <c r="G666" s="118"/>
    </row>
    <row r="667">
      <c r="A667" s="132">
        <v>666.0</v>
      </c>
      <c r="B667" s="132" t="s">
        <v>650</v>
      </c>
      <c r="C667" s="133" t="s">
        <v>653</v>
      </c>
      <c r="D667" s="133" t="s">
        <v>660</v>
      </c>
      <c r="E667" s="116"/>
      <c r="F667" s="135">
        <v>0.145</v>
      </c>
      <c r="G667" s="118"/>
    </row>
    <row r="668">
      <c r="A668" s="132">
        <v>667.0</v>
      </c>
      <c r="B668" s="132" t="s">
        <v>650</v>
      </c>
      <c r="C668" s="133" t="s">
        <v>661</v>
      </c>
      <c r="D668" s="134"/>
      <c r="E668" s="116"/>
      <c r="F668" s="135">
        <v>0.145</v>
      </c>
      <c r="G668" s="118"/>
    </row>
    <row r="669">
      <c r="A669" s="132">
        <v>668.0</v>
      </c>
      <c r="B669" s="132" t="s">
        <v>650</v>
      </c>
      <c r="C669" s="133" t="s">
        <v>662</v>
      </c>
      <c r="D669" s="133" t="s">
        <v>663</v>
      </c>
      <c r="E669" s="116"/>
      <c r="F669" s="135">
        <v>0.145</v>
      </c>
      <c r="G669" s="118"/>
    </row>
    <row r="670">
      <c r="A670" s="132">
        <v>669.0</v>
      </c>
      <c r="B670" s="132" t="s">
        <v>650</v>
      </c>
      <c r="C670" s="133" t="s">
        <v>662</v>
      </c>
      <c r="D670" s="133" t="s">
        <v>62</v>
      </c>
      <c r="E670" s="116"/>
      <c r="F670" s="135">
        <v>0.145</v>
      </c>
      <c r="G670" s="118"/>
    </row>
    <row r="671">
      <c r="A671" s="132">
        <v>670.0</v>
      </c>
      <c r="B671" s="132" t="s">
        <v>650</v>
      </c>
      <c r="C671" s="133" t="s">
        <v>662</v>
      </c>
      <c r="D671" s="133" t="s">
        <v>664</v>
      </c>
      <c r="E671" s="116"/>
      <c r="F671" s="135">
        <v>0.145</v>
      </c>
      <c r="G671" s="118"/>
    </row>
    <row r="672">
      <c r="A672" s="132">
        <v>671.0</v>
      </c>
      <c r="B672" s="132" t="s">
        <v>650</v>
      </c>
      <c r="C672" s="133" t="s">
        <v>665</v>
      </c>
      <c r="D672" s="133" t="s">
        <v>666</v>
      </c>
      <c r="E672" s="116"/>
      <c r="F672" s="135">
        <v>0.145</v>
      </c>
      <c r="G672" s="118"/>
    </row>
    <row r="673">
      <c r="A673" s="132">
        <v>672.0</v>
      </c>
      <c r="B673" s="132" t="s">
        <v>650</v>
      </c>
      <c r="C673" s="133" t="s">
        <v>665</v>
      </c>
      <c r="D673" s="133" t="s">
        <v>667</v>
      </c>
      <c r="E673" s="116"/>
      <c r="F673" s="135">
        <v>0.145</v>
      </c>
      <c r="G673" s="118"/>
    </row>
    <row r="674">
      <c r="A674" s="132">
        <v>673.0</v>
      </c>
      <c r="B674" s="132" t="s">
        <v>650</v>
      </c>
      <c r="C674" s="133" t="s">
        <v>668</v>
      </c>
      <c r="D674" s="133" t="s">
        <v>669</v>
      </c>
      <c r="E674" s="116"/>
      <c r="F674" s="135">
        <v>0.137</v>
      </c>
      <c r="G674" s="118"/>
    </row>
    <row r="675">
      <c r="A675" s="132">
        <v>674.0</v>
      </c>
      <c r="B675" s="132" t="s">
        <v>650</v>
      </c>
      <c r="C675" s="133" t="s">
        <v>668</v>
      </c>
      <c r="D675" s="133" t="s">
        <v>670</v>
      </c>
      <c r="E675" s="116"/>
      <c r="F675" s="135">
        <v>0.145</v>
      </c>
      <c r="G675" s="118"/>
    </row>
    <row r="676">
      <c r="A676" s="132">
        <v>675.0</v>
      </c>
      <c r="B676" s="132" t="s">
        <v>650</v>
      </c>
      <c r="C676" s="133" t="s">
        <v>668</v>
      </c>
      <c r="D676" s="133" t="s">
        <v>671</v>
      </c>
      <c r="E676" s="116"/>
      <c r="F676" s="135">
        <v>0.137</v>
      </c>
      <c r="G676" s="118"/>
    </row>
    <row r="677">
      <c r="A677" s="132">
        <v>676.0</v>
      </c>
      <c r="B677" s="132" t="s">
        <v>650</v>
      </c>
      <c r="C677" s="133" t="s">
        <v>672</v>
      </c>
      <c r="D677" s="133" t="s">
        <v>673</v>
      </c>
      <c r="E677" s="116"/>
      <c r="F677" s="135">
        <v>0.142</v>
      </c>
      <c r="G677" s="118"/>
    </row>
    <row r="678">
      <c r="A678" s="132">
        <v>677.0</v>
      </c>
      <c r="B678" s="132" t="s">
        <v>674</v>
      </c>
      <c r="C678" s="133" t="s">
        <v>675</v>
      </c>
      <c r="D678" s="133" t="s">
        <v>676</v>
      </c>
      <c r="E678" s="116"/>
      <c r="F678" s="135">
        <v>0.158</v>
      </c>
      <c r="G678" s="118"/>
    </row>
    <row r="679">
      <c r="A679" s="132">
        <v>678.0</v>
      </c>
      <c r="B679" s="132" t="s">
        <v>674</v>
      </c>
      <c r="C679" s="133" t="s">
        <v>675</v>
      </c>
      <c r="D679" s="133" t="s">
        <v>677</v>
      </c>
      <c r="E679" s="116"/>
      <c r="F679" s="135">
        <v>0.158</v>
      </c>
      <c r="G679" s="118"/>
    </row>
    <row r="680">
      <c r="A680" s="132">
        <v>679.0</v>
      </c>
      <c r="B680" s="132" t="s">
        <v>674</v>
      </c>
      <c r="C680" s="133" t="s">
        <v>675</v>
      </c>
      <c r="D680" s="133" t="s">
        <v>678</v>
      </c>
      <c r="E680" s="116"/>
      <c r="F680" s="135">
        <v>0.158</v>
      </c>
      <c r="G680" s="118"/>
    </row>
    <row r="681">
      <c r="A681" s="132">
        <v>680.0</v>
      </c>
      <c r="B681" s="132" t="s">
        <v>674</v>
      </c>
      <c r="C681" s="133" t="s">
        <v>675</v>
      </c>
      <c r="D681" s="133" t="s">
        <v>679</v>
      </c>
      <c r="E681" s="116"/>
      <c r="F681" s="135">
        <v>0.158</v>
      </c>
      <c r="G681" s="118"/>
    </row>
    <row r="682">
      <c r="A682" s="132">
        <v>681.0</v>
      </c>
      <c r="B682" s="132" t="s">
        <v>674</v>
      </c>
      <c r="C682" s="133" t="s">
        <v>675</v>
      </c>
      <c r="D682" s="133" t="s">
        <v>680</v>
      </c>
      <c r="E682" s="116"/>
      <c r="F682" s="135">
        <v>0.158</v>
      </c>
      <c r="G682" s="118"/>
    </row>
    <row r="683">
      <c r="A683" s="132">
        <v>682.0</v>
      </c>
      <c r="B683" s="132" t="s">
        <v>674</v>
      </c>
      <c r="C683" s="133" t="s">
        <v>675</v>
      </c>
      <c r="D683" s="133" t="s">
        <v>681</v>
      </c>
      <c r="E683" s="116"/>
      <c r="F683" s="135">
        <v>0.158</v>
      </c>
      <c r="G683" s="118"/>
    </row>
    <row r="684">
      <c r="A684" s="132">
        <v>683.0</v>
      </c>
      <c r="B684" s="132" t="s">
        <v>674</v>
      </c>
      <c r="C684" s="133" t="s">
        <v>675</v>
      </c>
      <c r="D684" s="133" t="s">
        <v>682</v>
      </c>
      <c r="E684" s="116"/>
      <c r="F684" s="135">
        <v>0.158</v>
      </c>
      <c r="G684" s="118"/>
    </row>
    <row r="685">
      <c r="A685" s="132">
        <v>684.0</v>
      </c>
      <c r="B685" s="132" t="s">
        <v>674</v>
      </c>
      <c r="C685" s="133" t="s">
        <v>675</v>
      </c>
      <c r="D685" s="133" t="s">
        <v>683</v>
      </c>
      <c r="E685" s="116"/>
      <c r="F685" s="135">
        <v>0.158</v>
      </c>
      <c r="G685" s="118"/>
    </row>
    <row r="686">
      <c r="A686" s="132">
        <v>685.0</v>
      </c>
      <c r="B686" s="132" t="s">
        <v>674</v>
      </c>
      <c r="C686" s="133" t="s">
        <v>675</v>
      </c>
      <c r="D686" s="133" t="s">
        <v>684</v>
      </c>
      <c r="E686" s="116"/>
      <c r="F686" s="135">
        <v>0.158</v>
      </c>
      <c r="G686" s="118"/>
    </row>
    <row r="687">
      <c r="A687" s="132">
        <v>686.0</v>
      </c>
      <c r="B687" s="132" t="s">
        <v>674</v>
      </c>
      <c r="C687" s="133" t="s">
        <v>675</v>
      </c>
      <c r="D687" s="133" t="s">
        <v>62</v>
      </c>
      <c r="E687" s="116"/>
      <c r="F687" s="135">
        <v>0.158</v>
      </c>
      <c r="G687" s="118"/>
    </row>
    <row r="688">
      <c r="A688" s="132">
        <v>687.0</v>
      </c>
      <c r="B688" s="132" t="s">
        <v>674</v>
      </c>
      <c r="C688" s="133" t="s">
        <v>675</v>
      </c>
      <c r="D688" s="133" t="s">
        <v>685</v>
      </c>
      <c r="E688" s="116"/>
      <c r="F688" s="135">
        <v>0.158</v>
      </c>
      <c r="G688" s="118"/>
    </row>
    <row r="689">
      <c r="A689" s="132">
        <v>688.0</v>
      </c>
      <c r="B689" s="132" t="s">
        <v>674</v>
      </c>
      <c r="C689" s="133" t="s">
        <v>686</v>
      </c>
      <c r="D689" s="134"/>
      <c r="E689" s="116"/>
      <c r="F689" s="135">
        <v>0.142</v>
      </c>
      <c r="G689" s="118"/>
    </row>
    <row r="690">
      <c r="A690" s="132">
        <v>689.0</v>
      </c>
      <c r="B690" s="132" t="s">
        <v>674</v>
      </c>
      <c r="C690" s="133" t="s">
        <v>687</v>
      </c>
      <c r="D690" s="133" t="s">
        <v>688</v>
      </c>
      <c r="E690" s="116"/>
      <c r="F690" s="135">
        <v>0.142</v>
      </c>
      <c r="G690" s="118"/>
    </row>
    <row r="691">
      <c r="A691" s="132">
        <v>690.0</v>
      </c>
      <c r="B691" s="132" t="s">
        <v>674</v>
      </c>
      <c r="C691" s="133" t="s">
        <v>687</v>
      </c>
      <c r="D691" s="133" t="s">
        <v>689</v>
      </c>
      <c r="E691" s="116"/>
      <c r="F691" s="135">
        <v>0.142</v>
      </c>
      <c r="G691" s="118"/>
    </row>
    <row r="692">
      <c r="A692" s="132">
        <v>691.0</v>
      </c>
      <c r="B692" s="132" t="s">
        <v>674</v>
      </c>
      <c r="C692" s="133" t="s">
        <v>687</v>
      </c>
      <c r="D692" s="133" t="s">
        <v>690</v>
      </c>
      <c r="E692" s="116"/>
      <c r="F692" s="135">
        <v>0.115</v>
      </c>
      <c r="G692" s="118"/>
    </row>
    <row r="693">
      <c r="A693" s="132">
        <v>692.0</v>
      </c>
      <c r="B693" s="132" t="s">
        <v>674</v>
      </c>
      <c r="C693" s="133" t="s">
        <v>687</v>
      </c>
      <c r="D693" s="133" t="s">
        <v>691</v>
      </c>
      <c r="E693" s="116"/>
      <c r="F693" s="135">
        <v>0.142</v>
      </c>
      <c r="G693" s="118"/>
    </row>
    <row r="694">
      <c r="A694" s="132">
        <v>693.0</v>
      </c>
      <c r="B694" s="132" t="s">
        <v>674</v>
      </c>
      <c r="C694" s="133" t="s">
        <v>687</v>
      </c>
      <c r="D694" s="133" t="s">
        <v>692</v>
      </c>
      <c r="E694" s="116"/>
      <c r="F694" s="135">
        <v>0.158</v>
      </c>
      <c r="G694" s="118"/>
    </row>
    <row r="695">
      <c r="A695" s="132">
        <v>694.0</v>
      </c>
      <c r="B695" s="132" t="s">
        <v>674</v>
      </c>
      <c r="C695" s="133" t="s">
        <v>687</v>
      </c>
      <c r="D695" s="133" t="s">
        <v>62</v>
      </c>
      <c r="E695" s="116"/>
      <c r="F695" s="135">
        <v>0.142</v>
      </c>
      <c r="G695" s="118"/>
    </row>
    <row r="696">
      <c r="A696" s="132">
        <v>695.0</v>
      </c>
      <c r="B696" s="132" t="s">
        <v>674</v>
      </c>
      <c r="C696" s="133" t="s">
        <v>693</v>
      </c>
      <c r="D696" s="133" t="s">
        <v>694</v>
      </c>
      <c r="E696" s="116"/>
      <c r="F696" s="135">
        <v>0.158</v>
      </c>
      <c r="G696" s="118"/>
    </row>
    <row r="697">
      <c r="A697" s="132">
        <v>696.0</v>
      </c>
      <c r="B697" s="132" t="s">
        <v>674</v>
      </c>
      <c r="C697" s="133" t="s">
        <v>693</v>
      </c>
      <c r="D697" s="133" t="s">
        <v>695</v>
      </c>
      <c r="E697" s="116"/>
      <c r="F697" s="135">
        <v>0.158</v>
      </c>
      <c r="G697" s="118"/>
    </row>
    <row r="698">
      <c r="A698" s="132">
        <v>697.0</v>
      </c>
      <c r="B698" s="132" t="s">
        <v>674</v>
      </c>
      <c r="C698" s="133" t="s">
        <v>693</v>
      </c>
      <c r="D698" s="133" t="s">
        <v>696</v>
      </c>
      <c r="E698" s="116"/>
      <c r="F698" s="135">
        <v>0.158</v>
      </c>
      <c r="G698" s="118"/>
    </row>
    <row r="699">
      <c r="A699" s="132">
        <v>698.0</v>
      </c>
      <c r="B699" s="132" t="s">
        <v>674</v>
      </c>
      <c r="C699" s="133" t="s">
        <v>693</v>
      </c>
      <c r="D699" s="133" t="s">
        <v>697</v>
      </c>
      <c r="E699" s="116"/>
      <c r="F699" s="135">
        <v>0.158</v>
      </c>
      <c r="G699" s="118"/>
    </row>
    <row r="700">
      <c r="A700" s="132">
        <v>699.0</v>
      </c>
      <c r="B700" s="132" t="s">
        <v>674</v>
      </c>
      <c r="C700" s="133" t="s">
        <v>693</v>
      </c>
      <c r="D700" s="133" t="s">
        <v>62</v>
      </c>
      <c r="E700" s="116"/>
      <c r="F700" s="135">
        <v>0.158</v>
      </c>
      <c r="G700" s="118"/>
    </row>
    <row r="701">
      <c r="A701" s="132">
        <v>700.0</v>
      </c>
      <c r="B701" s="132" t="s">
        <v>674</v>
      </c>
      <c r="C701" s="133" t="s">
        <v>693</v>
      </c>
      <c r="D701" s="133" t="s">
        <v>698</v>
      </c>
      <c r="E701" s="116"/>
      <c r="F701" s="135">
        <v>0.158</v>
      </c>
      <c r="G701" s="118"/>
    </row>
    <row r="702">
      <c r="A702" s="132">
        <v>701.0</v>
      </c>
      <c r="B702" s="132" t="s">
        <v>674</v>
      </c>
      <c r="C702" s="133" t="s">
        <v>699</v>
      </c>
      <c r="D702" s="133" t="s">
        <v>700</v>
      </c>
      <c r="E702" s="116"/>
      <c r="F702" s="135">
        <v>0.158</v>
      </c>
      <c r="G702" s="118"/>
    </row>
    <row r="703">
      <c r="A703" s="132">
        <v>702.0</v>
      </c>
      <c r="B703" s="132" t="s">
        <v>674</v>
      </c>
      <c r="C703" s="133" t="s">
        <v>699</v>
      </c>
      <c r="D703" s="133" t="s">
        <v>701</v>
      </c>
      <c r="E703" s="116"/>
      <c r="F703" s="135">
        <v>0.158</v>
      </c>
      <c r="G703" s="118"/>
    </row>
    <row r="704">
      <c r="A704" s="132">
        <v>703.0</v>
      </c>
      <c r="B704" s="132" t="s">
        <v>674</v>
      </c>
      <c r="C704" s="133" t="s">
        <v>699</v>
      </c>
      <c r="D704" s="133" t="s">
        <v>702</v>
      </c>
      <c r="E704" s="116"/>
      <c r="F704" s="135">
        <v>0.158</v>
      </c>
      <c r="G704" s="118"/>
    </row>
    <row r="705">
      <c r="A705" s="132">
        <v>704.0</v>
      </c>
      <c r="B705" s="132" t="s">
        <v>674</v>
      </c>
      <c r="C705" s="133" t="s">
        <v>699</v>
      </c>
      <c r="D705" s="133" t="s">
        <v>62</v>
      </c>
      <c r="E705" s="116"/>
      <c r="F705" s="135">
        <v>0.158</v>
      </c>
      <c r="G705" s="118"/>
    </row>
    <row r="706">
      <c r="A706" s="132">
        <v>705.0</v>
      </c>
      <c r="B706" s="132" t="s">
        <v>674</v>
      </c>
      <c r="C706" s="133" t="s">
        <v>703</v>
      </c>
      <c r="D706" s="133" t="s">
        <v>704</v>
      </c>
      <c r="E706" s="116"/>
      <c r="F706" s="135">
        <v>0.158</v>
      </c>
      <c r="G706" s="118"/>
    </row>
    <row r="707">
      <c r="A707" s="132">
        <v>706.0</v>
      </c>
      <c r="B707" s="132" t="s">
        <v>674</v>
      </c>
      <c r="C707" s="133" t="s">
        <v>703</v>
      </c>
      <c r="D707" s="133" t="s">
        <v>705</v>
      </c>
      <c r="E707" s="116"/>
      <c r="F707" s="135">
        <v>0.158</v>
      </c>
      <c r="G707" s="118"/>
    </row>
    <row r="708">
      <c r="A708" s="132">
        <v>707.0</v>
      </c>
      <c r="B708" s="132" t="s">
        <v>674</v>
      </c>
      <c r="C708" s="133" t="s">
        <v>703</v>
      </c>
      <c r="D708" s="133" t="s">
        <v>706</v>
      </c>
      <c r="E708" s="116"/>
      <c r="F708" s="135">
        <v>0.158</v>
      </c>
      <c r="G708" s="118"/>
    </row>
    <row r="709">
      <c r="A709" s="132">
        <v>708.0</v>
      </c>
      <c r="B709" s="132" t="s">
        <v>674</v>
      </c>
      <c r="C709" s="133" t="s">
        <v>703</v>
      </c>
      <c r="D709" s="133" t="s">
        <v>707</v>
      </c>
      <c r="E709" s="116"/>
      <c r="F709" s="135">
        <v>0.158</v>
      </c>
      <c r="G709" s="118"/>
    </row>
    <row r="710">
      <c r="A710" s="132">
        <v>709.0</v>
      </c>
      <c r="B710" s="132" t="s">
        <v>674</v>
      </c>
      <c r="C710" s="133" t="s">
        <v>703</v>
      </c>
      <c r="D710" s="133" t="s">
        <v>62</v>
      </c>
      <c r="E710" s="116"/>
      <c r="F710" s="135">
        <v>0.158</v>
      </c>
      <c r="G710" s="118"/>
    </row>
    <row r="711">
      <c r="A711" s="132">
        <v>710.0</v>
      </c>
      <c r="B711" s="132" t="s">
        <v>674</v>
      </c>
      <c r="C711" s="133" t="s">
        <v>708</v>
      </c>
      <c r="D711" s="133" t="s">
        <v>709</v>
      </c>
      <c r="E711" s="116"/>
      <c r="F711" s="135">
        <v>0.158</v>
      </c>
      <c r="G711" s="118"/>
    </row>
    <row r="712">
      <c r="A712" s="132">
        <v>711.0</v>
      </c>
      <c r="B712" s="132" t="s">
        <v>674</v>
      </c>
      <c r="C712" s="133" t="s">
        <v>708</v>
      </c>
      <c r="D712" s="133" t="s">
        <v>693</v>
      </c>
      <c r="E712" s="116"/>
      <c r="F712" s="135">
        <v>0.158</v>
      </c>
      <c r="G712" s="118"/>
    </row>
    <row r="713">
      <c r="A713" s="132">
        <v>712.0</v>
      </c>
      <c r="B713" s="132" t="s">
        <v>674</v>
      </c>
      <c r="C713" s="133" t="s">
        <v>708</v>
      </c>
      <c r="D713" s="133" t="s">
        <v>62</v>
      </c>
      <c r="E713" s="116"/>
      <c r="F713" s="135">
        <v>0.158</v>
      </c>
      <c r="G713" s="118"/>
    </row>
    <row r="714">
      <c r="A714" s="132">
        <v>713.0</v>
      </c>
      <c r="B714" s="132" t="s">
        <v>674</v>
      </c>
      <c r="C714" s="133" t="s">
        <v>708</v>
      </c>
      <c r="D714" s="133" t="s">
        <v>710</v>
      </c>
      <c r="E714" s="116"/>
      <c r="F714" s="135">
        <v>0.158</v>
      </c>
      <c r="G714" s="118"/>
    </row>
    <row r="715">
      <c r="A715" s="132">
        <v>714.0</v>
      </c>
      <c r="B715" s="132" t="s">
        <v>674</v>
      </c>
      <c r="C715" s="133" t="s">
        <v>708</v>
      </c>
      <c r="D715" s="133" t="s">
        <v>711</v>
      </c>
      <c r="E715" s="116"/>
      <c r="F715" s="135">
        <v>0.158</v>
      </c>
      <c r="G715" s="118"/>
    </row>
    <row r="716">
      <c r="A716" s="132">
        <v>715.0</v>
      </c>
      <c r="B716" s="132" t="s">
        <v>674</v>
      </c>
      <c r="C716" s="133" t="s">
        <v>62</v>
      </c>
      <c r="D716" s="134"/>
      <c r="E716" s="116"/>
      <c r="F716" s="135">
        <v>0.158</v>
      </c>
      <c r="G716" s="118"/>
    </row>
    <row r="717">
      <c r="A717" s="132">
        <v>716.0</v>
      </c>
      <c r="B717" s="132" t="s">
        <v>674</v>
      </c>
      <c r="C717" s="133" t="s">
        <v>712</v>
      </c>
      <c r="D717" s="134"/>
      <c r="E717" s="116"/>
      <c r="F717" s="135">
        <v>0.158</v>
      </c>
      <c r="G717" s="118"/>
    </row>
    <row r="718">
      <c r="A718" s="132">
        <v>717.0</v>
      </c>
      <c r="B718" s="132" t="s">
        <v>674</v>
      </c>
      <c r="C718" s="133" t="s">
        <v>713</v>
      </c>
      <c r="D718" s="133" t="s">
        <v>714</v>
      </c>
      <c r="E718" s="116"/>
      <c r="F718" s="135">
        <v>0.158</v>
      </c>
      <c r="G718" s="118"/>
    </row>
    <row r="719">
      <c r="A719" s="132">
        <v>718.0</v>
      </c>
      <c r="B719" s="132" t="s">
        <v>674</v>
      </c>
      <c r="C719" s="133" t="s">
        <v>713</v>
      </c>
      <c r="D719" s="133" t="s">
        <v>715</v>
      </c>
      <c r="E719" s="116"/>
      <c r="F719" s="135">
        <v>0.158</v>
      </c>
      <c r="G719" s="118"/>
    </row>
    <row r="720">
      <c r="A720" s="132">
        <v>719.0</v>
      </c>
      <c r="B720" s="132" t="s">
        <v>674</v>
      </c>
      <c r="C720" s="133" t="s">
        <v>713</v>
      </c>
      <c r="D720" s="133" t="s">
        <v>716</v>
      </c>
      <c r="E720" s="116"/>
      <c r="F720" s="135">
        <v>0.158</v>
      </c>
      <c r="G720" s="118"/>
    </row>
    <row r="721">
      <c r="A721" s="132">
        <v>720.0</v>
      </c>
      <c r="B721" s="132" t="s">
        <v>674</v>
      </c>
      <c r="C721" s="133" t="s">
        <v>713</v>
      </c>
      <c r="D721" s="133" t="s">
        <v>717</v>
      </c>
      <c r="E721" s="116"/>
      <c r="F721" s="135">
        <v>0.158</v>
      </c>
      <c r="G721" s="118"/>
    </row>
    <row r="722">
      <c r="A722" s="132">
        <v>721.0</v>
      </c>
      <c r="B722" s="132" t="s">
        <v>674</v>
      </c>
      <c r="C722" s="133" t="s">
        <v>713</v>
      </c>
      <c r="D722" s="133" t="s">
        <v>718</v>
      </c>
      <c r="E722" s="116"/>
      <c r="F722" s="135">
        <v>0.158</v>
      </c>
      <c r="G722" s="118"/>
    </row>
    <row r="723">
      <c r="A723" s="132">
        <v>722.0</v>
      </c>
      <c r="B723" s="132" t="s">
        <v>674</v>
      </c>
      <c r="C723" s="133" t="s">
        <v>713</v>
      </c>
      <c r="D723" s="133" t="s">
        <v>719</v>
      </c>
      <c r="E723" s="116"/>
      <c r="F723" s="135">
        <v>0.158</v>
      </c>
      <c r="G723" s="118"/>
    </row>
    <row r="724">
      <c r="A724" s="132">
        <v>723.0</v>
      </c>
      <c r="B724" s="132" t="s">
        <v>674</v>
      </c>
      <c r="C724" s="133" t="s">
        <v>713</v>
      </c>
      <c r="D724" s="133" t="s">
        <v>720</v>
      </c>
      <c r="E724" s="116"/>
      <c r="F724" s="135">
        <v>0.158</v>
      </c>
      <c r="G724" s="118"/>
    </row>
    <row r="725">
      <c r="A725" s="132">
        <v>724.0</v>
      </c>
      <c r="B725" s="132" t="s">
        <v>674</v>
      </c>
      <c r="C725" s="133" t="s">
        <v>713</v>
      </c>
      <c r="D725" s="133" t="s">
        <v>721</v>
      </c>
      <c r="E725" s="116"/>
      <c r="F725" s="135">
        <v>0.158</v>
      </c>
      <c r="G725" s="118"/>
    </row>
    <row r="726">
      <c r="A726" s="132">
        <v>725.0</v>
      </c>
      <c r="B726" s="132" t="s">
        <v>674</v>
      </c>
      <c r="C726" s="133" t="s">
        <v>713</v>
      </c>
      <c r="D726" s="133" t="s">
        <v>722</v>
      </c>
      <c r="E726" s="116"/>
      <c r="F726" s="135">
        <v>0.158</v>
      </c>
      <c r="G726" s="118"/>
    </row>
    <row r="727">
      <c r="A727" s="132">
        <v>726.0</v>
      </c>
      <c r="B727" s="132" t="s">
        <v>674</v>
      </c>
      <c r="C727" s="133" t="s">
        <v>713</v>
      </c>
      <c r="D727" s="133" t="s">
        <v>723</v>
      </c>
      <c r="E727" s="116"/>
      <c r="F727" s="135">
        <v>0.158</v>
      </c>
      <c r="G727" s="118"/>
    </row>
    <row r="728">
      <c r="A728" s="132">
        <v>727.0</v>
      </c>
      <c r="B728" s="132" t="s">
        <v>674</v>
      </c>
      <c r="C728" s="133" t="s">
        <v>713</v>
      </c>
      <c r="D728" s="133" t="s">
        <v>724</v>
      </c>
      <c r="E728" s="116"/>
      <c r="F728" s="135">
        <v>0.158</v>
      </c>
      <c r="G728" s="118"/>
    </row>
    <row r="729">
      <c r="A729" s="132">
        <v>728.0</v>
      </c>
      <c r="B729" s="132" t="s">
        <v>674</v>
      </c>
      <c r="C729" s="133" t="s">
        <v>713</v>
      </c>
      <c r="D729" s="133" t="s">
        <v>725</v>
      </c>
      <c r="E729" s="116"/>
      <c r="F729" s="135">
        <v>0.158</v>
      </c>
      <c r="G729" s="118"/>
    </row>
    <row r="730">
      <c r="A730" s="132">
        <v>729.0</v>
      </c>
      <c r="B730" s="132" t="s">
        <v>674</v>
      </c>
      <c r="C730" s="133" t="s">
        <v>713</v>
      </c>
      <c r="D730" s="133" t="s">
        <v>726</v>
      </c>
      <c r="E730" s="116"/>
      <c r="F730" s="135">
        <v>0.158</v>
      </c>
      <c r="G730" s="118"/>
    </row>
    <row r="731">
      <c r="A731" s="132">
        <v>730.0</v>
      </c>
      <c r="B731" s="132" t="s">
        <v>674</v>
      </c>
      <c r="C731" s="133" t="s">
        <v>713</v>
      </c>
      <c r="D731" s="133" t="s">
        <v>62</v>
      </c>
      <c r="E731" s="116"/>
      <c r="F731" s="135">
        <v>0.158</v>
      </c>
      <c r="G731" s="118"/>
    </row>
    <row r="732">
      <c r="A732" s="132">
        <v>731.0</v>
      </c>
      <c r="B732" s="132" t="s">
        <v>674</v>
      </c>
      <c r="C732" s="133" t="s">
        <v>713</v>
      </c>
      <c r="D732" s="133" t="s">
        <v>727</v>
      </c>
      <c r="E732" s="116"/>
      <c r="F732" s="135">
        <v>0.158</v>
      </c>
      <c r="G732" s="118"/>
    </row>
    <row r="733">
      <c r="A733" s="132">
        <v>732.0</v>
      </c>
      <c r="B733" s="132" t="s">
        <v>728</v>
      </c>
      <c r="C733" s="133" t="s">
        <v>729</v>
      </c>
      <c r="D733" s="133" t="s">
        <v>730</v>
      </c>
      <c r="E733" s="116"/>
      <c r="F733" s="135">
        <v>0.142</v>
      </c>
      <c r="G733" s="118"/>
    </row>
    <row r="734">
      <c r="A734" s="132">
        <v>733.0</v>
      </c>
      <c r="B734" s="132" t="s">
        <v>728</v>
      </c>
      <c r="C734" s="133" t="s">
        <v>729</v>
      </c>
      <c r="D734" s="133" t="s">
        <v>731</v>
      </c>
      <c r="E734" s="116"/>
      <c r="F734" s="135">
        <v>0.142</v>
      </c>
      <c r="G734" s="118"/>
    </row>
    <row r="735">
      <c r="A735" s="132">
        <v>734.0</v>
      </c>
      <c r="B735" s="132" t="s">
        <v>728</v>
      </c>
      <c r="C735" s="133" t="s">
        <v>729</v>
      </c>
      <c r="D735" s="133" t="s">
        <v>62</v>
      </c>
      <c r="E735" s="116"/>
      <c r="F735" s="135">
        <v>0.142</v>
      </c>
      <c r="G735" s="118"/>
    </row>
    <row r="736">
      <c r="A736" s="132">
        <v>735.0</v>
      </c>
      <c r="B736" s="132" t="s">
        <v>728</v>
      </c>
      <c r="C736" s="133" t="s">
        <v>729</v>
      </c>
      <c r="D736" s="133" t="s">
        <v>732</v>
      </c>
      <c r="E736" s="116"/>
      <c r="F736" s="135">
        <v>0.158</v>
      </c>
      <c r="G736" s="118"/>
    </row>
    <row r="737">
      <c r="A737" s="132">
        <v>736.0</v>
      </c>
      <c r="B737" s="132" t="s">
        <v>728</v>
      </c>
      <c r="C737" s="133" t="s">
        <v>729</v>
      </c>
      <c r="D737" s="133" t="s">
        <v>733</v>
      </c>
      <c r="E737" s="116"/>
      <c r="F737" s="135">
        <v>0.158</v>
      </c>
      <c r="G737" s="118"/>
    </row>
    <row r="738">
      <c r="A738" s="132">
        <v>737.0</v>
      </c>
      <c r="B738" s="132" t="s">
        <v>728</v>
      </c>
      <c r="C738" s="133" t="s">
        <v>62</v>
      </c>
      <c r="D738" s="134"/>
      <c r="E738" s="116"/>
      <c r="F738" s="135">
        <v>0.142</v>
      </c>
      <c r="G738" s="118"/>
    </row>
    <row r="739">
      <c r="A739" s="132">
        <v>738.0</v>
      </c>
      <c r="B739" s="132" t="s">
        <v>728</v>
      </c>
      <c r="C739" s="133" t="s">
        <v>734</v>
      </c>
      <c r="D739" s="133" t="s">
        <v>735</v>
      </c>
      <c r="E739" s="116"/>
      <c r="F739" s="135">
        <v>0.158</v>
      </c>
      <c r="G739" s="118"/>
    </row>
    <row r="740">
      <c r="A740" s="132">
        <v>739.0</v>
      </c>
      <c r="B740" s="132" t="s">
        <v>728</v>
      </c>
      <c r="C740" s="133" t="s">
        <v>734</v>
      </c>
      <c r="D740" s="133" t="s">
        <v>736</v>
      </c>
      <c r="E740" s="116"/>
      <c r="F740" s="135">
        <v>0.158</v>
      </c>
      <c r="G740" s="118"/>
    </row>
    <row r="741">
      <c r="A741" s="132">
        <v>740.0</v>
      </c>
      <c r="B741" s="132" t="s">
        <v>728</v>
      </c>
      <c r="C741" s="133" t="s">
        <v>734</v>
      </c>
      <c r="D741" s="133" t="s">
        <v>737</v>
      </c>
      <c r="E741" s="116"/>
      <c r="F741" s="135">
        <v>0.158</v>
      </c>
      <c r="G741" s="118"/>
    </row>
    <row r="742">
      <c r="A742" s="132">
        <v>741.0</v>
      </c>
      <c r="B742" s="132" t="s">
        <v>728</v>
      </c>
      <c r="C742" s="133" t="s">
        <v>734</v>
      </c>
      <c r="D742" s="133" t="s">
        <v>738</v>
      </c>
      <c r="E742" s="116"/>
      <c r="F742" s="135">
        <v>0.158</v>
      </c>
      <c r="G742" s="118"/>
    </row>
    <row r="743">
      <c r="A743" s="132">
        <v>742.0</v>
      </c>
      <c r="B743" s="132" t="s">
        <v>728</v>
      </c>
      <c r="C743" s="133" t="s">
        <v>734</v>
      </c>
      <c r="D743" s="133" t="s">
        <v>739</v>
      </c>
      <c r="E743" s="116"/>
      <c r="F743" s="135">
        <v>0.158</v>
      </c>
      <c r="G743" s="118"/>
    </row>
    <row r="744">
      <c r="A744" s="132">
        <v>743.0</v>
      </c>
      <c r="B744" s="132" t="s">
        <v>728</v>
      </c>
      <c r="C744" s="133" t="s">
        <v>734</v>
      </c>
      <c r="D744" s="133" t="s">
        <v>740</v>
      </c>
      <c r="E744" s="116"/>
      <c r="F744" s="135">
        <v>0.158</v>
      </c>
      <c r="G744" s="118"/>
    </row>
    <row r="745">
      <c r="A745" s="132">
        <v>744.0</v>
      </c>
      <c r="B745" s="132" t="s">
        <v>728</v>
      </c>
      <c r="C745" s="133" t="s">
        <v>734</v>
      </c>
      <c r="D745" s="133" t="s">
        <v>741</v>
      </c>
      <c r="E745" s="116"/>
      <c r="F745" s="135">
        <v>0.137</v>
      </c>
      <c r="G745" s="118"/>
    </row>
    <row r="746">
      <c r="A746" s="132">
        <v>745.0</v>
      </c>
      <c r="B746" s="132" t="s">
        <v>728</v>
      </c>
      <c r="C746" s="133" t="s">
        <v>734</v>
      </c>
      <c r="D746" s="133" t="s">
        <v>742</v>
      </c>
      <c r="E746" s="116"/>
      <c r="F746" s="135">
        <v>0.158</v>
      </c>
      <c r="G746" s="118"/>
    </row>
    <row r="747">
      <c r="A747" s="132">
        <v>746.0</v>
      </c>
      <c r="B747" s="132" t="s">
        <v>728</v>
      </c>
      <c r="C747" s="133" t="s">
        <v>734</v>
      </c>
      <c r="D747" s="133" t="s">
        <v>62</v>
      </c>
      <c r="E747" s="116"/>
      <c r="F747" s="135">
        <v>0.158</v>
      </c>
      <c r="G747" s="118"/>
    </row>
    <row r="748">
      <c r="A748" s="132">
        <v>747.0</v>
      </c>
      <c r="B748" s="132" t="s">
        <v>728</v>
      </c>
      <c r="C748" s="133" t="s">
        <v>743</v>
      </c>
      <c r="D748" s="133" t="s">
        <v>744</v>
      </c>
      <c r="E748" s="116"/>
      <c r="F748" s="135">
        <v>0.158</v>
      </c>
      <c r="G748" s="118"/>
    </row>
    <row r="749">
      <c r="A749" s="132">
        <v>748.0</v>
      </c>
      <c r="B749" s="132" t="s">
        <v>728</v>
      </c>
      <c r="C749" s="133" t="s">
        <v>743</v>
      </c>
      <c r="D749" s="133" t="s">
        <v>745</v>
      </c>
      <c r="E749" s="116"/>
      <c r="F749" s="135">
        <v>0.158</v>
      </c>
      <c r="G749" s="118"/>
    </row>
    <row r="750">
      <c r="A750" s="132">
        <v>749.0</v>
      </c>
      <c r="B750" s="132" t="s">
        <v>728</v>
      </c>
      <c r="C750" s="133" t="s">
        <v>743</v>
      </c>
      <c r="D750" s="133" t="s">
        <v>62</v>
      </c>
      <c r="E750" s="116"/>
      <c r="F750" s="135">
        <v>0.158</v>
      </c>
      <c r="G750" s="118"/>
    </row>
    <row r="751">
      <c r="A751" s="132">
        <v>750.0</v>
      </c>
      <c r="B751" s="132" t="s">
        <v>728</v>
      </c>
      <c r="C751" s="133" t="s">
        <v>743</v>
      </c>
      <c r="D751" s="133" t="s">
        <v>746</v>
      </c>
      <c r="E751" s="116"/>
      <c r="F751" s="135">
        <v>0.158</v>
      </c>
      <c r="G751" s="118"/>
    </row>
    <row r="752">
      <c r="A752" s="132">
        <v>751.0</v>
      </c>
      <c r="B752" s="132" t="s">
        <v>747</v>
      </c>
      <c r="C752" s="133" t="s">
        <v>748</v>
      </c>
      <c r="D752" s="133" t="s">
        <v>749</v>
      </c>
      <c r="E752" s="116"/>
      <c r="F752" s="135">
        <v>0.142</v>
      </c>
      <c r="G752" s="118"/>
    </row>
    <row r="753">
      <c r="A753" s="132">
        <v>752.0</v>
      </c>
      <c r="B753" s="132" t="s">
        <v>747</v>
      </c>
      <c r="C753" s="133" t="s">
        <v>748</v>
      </c>
      <c r="D753" s="133" t="s">
        <v>750</v>
      </c>
      <c r="E753" s="116"/>
      <c r="F753" s="135">
        <v>0.142</v>
      </c>
      <c r="G753" s="118"/>
    </row>
    <row r="754">
      <c r="A754" s="132">
        <v>753.0</v>
      </c>
      <c r="B754" s="132" t="s">
        <v>747</v>
      </c>
      <c r="C754" s="133" t="s">
        <v>748</v>
      </c>
      <c r="D754" s="133" t="s">
        <v>62</v>
      </c>
      <c r="E754" s="116"/>
      <c r="F754" s="135">
        <v>0.142</v>
      </c>
      <c r="G754" s="118"/>
    </row>
    <row r="755">
      <c r="A755" s="132">
        <v>754.0</v>
      </c>
      <c r="B755" s="132" t="s">
        <v>747</v>
      </c>
      <c r="C755" s="133" t="s">
        <v>748</v>
      </c>
      <c r="D755" s="133" t="s">
        <v>751</v>
      </c>
      <c r="E755" s="116"/>
      <c r="F755" s="135">
        <v>0.142</v>
      </c>
      <c r="G755" s="118"/>
    </row>
    <row r="756">
      <c r="A756" s="132">
        <v>755.0</v>
      </c>
      <c r="B756" s="132" t="s">
        <v>747</v>
      </c>
      <c r="C756" s="133" t="s">
        <v>748</v>
      </c>
      <c r="D756" s="133" t="s">
        <v>752</v>
      </c>
      <c r="E756" s="116"/>
      <c r="F756" s="135">
        <v>0.142</v>
      </c>
      <c r="G756" s="118"/>
    </row>
    <row r="757">
      <c r="A757" s="132">
        <v>756.0</v>
      </c>
      <c r="B757" s="132" t="s">
        <v>747</v>
      </c>
      <c r="C757" s="133" t="s">
        <v>753</v>
      </c>
      <c r="D757" s="133" t="s">
        <v>754</v>
      </c>
      <c r="E757" s="116"/>
      <c r="F757" s="135">
        <v>0.142</v>
      </c>
      <c r="G757" s="118"/>
    </row>
    <row r="758">
      <c r="A758" s="132">
        <v>757.0</v>
      </c>
      <c r="B758" s="132" t="s">
        <v>747</v>
      </c>
      <c r="C758" s="133" t="s">
        <v>753</v>
      </c>
      <c r="D758" s="133" t="s">
        <v>755</v>
      </c>
      <c r="E758" s="116"/>
      <c r="F758" s="135">
        <v>0.142</v>
      </c>
      <c r="G758" s="118"/>
    </row>
    <row r="759">
      <c r="A759" s="132">
        <v>758.0</v>
      </c>
      <c r="B759" s="132" t="s">
        <v>747</v>
      </c>
      <c r="C759" s="133" t="s">
        <v>753</v>
      </c>
      <c r="D759" s="133" t="s">
        <v>756</v>
      </c>
      <c r="E759" s="116"/>
      <c r="F759" s="135">
        <v>0.142</v>
      </c>
      <c r="G759" s="118"/>
    </row>
    <row r="760">
      <c r="A760" s="132">
        <v>759.0</v>
      </c>
      <c r="B760" s="132" t="s">
        <v>747</v>
      </c>
      <c r="C760" s="133" t="s">
        <v>753</v>
      </c>
      <c r="D760" s="133" t="s">
        <v>757</v>
      </c>
      <c r="E760" s="116"/>
      <c r="F760" s="135">
        <v>0.142</v>
      </c>
      <c r="G760" s="118"/>
    </row>
    <row r="761">
      <c r="A761" s="132">
        <v>760.0</v>
      </c>
      <c r="B761" s="132" t="s">
        <v>747</v>
      </c>
      <c r="C761" s="133" t="s">
        <v>753</v>
      </c>
      <c r="D761" s="133" t="s">
        <v>758</v>
      </c>
      <c r="E761" s="116"/>
      <c r="F761" s="135">
        <v>0.142</v>
      </c>
      <c r="G761" s="118"/>
    </row>
    <row r="762">
      <c r="A762" s="132">
        <v>761.0</v>
      </c>
      <c r="B762" s="132" t="s">
        <v>747</v>
      </c>
      <c r="C762" s="133" t="s">
        <v>753</v>
      </c>
      <c r="D762" s="133" t="s">
        <v>759</v>
      </c>
      <c r="E762" s="116"/>
      <c r="F762" s="135">
        <v>0.142</v>
      </c>
      <c r="G762" s="118"/>
    </row>
    <row r="763">
      <c r="A763" s="132">
        <v>762.0</v>
      </c>
      <c r="B763" s="132" t="s">
        <v>747</v>
      </c>
      <c r="C763" s="133" t="s">
        <v>753</v>
      </c>
      <c r="D763" s="133" t="s">
        <v>62</v>
      </c>
      <c r="E763" s="116"/>
      <c r="F763" s="135">
        <v>0.142</v>
      </c>
      <c r="G763" s="118"/>
    </row>
    <row r="764">
      <c r="A764" s="132">
        <v>763.0</v>
      </c>
      <c r="B764" s="132" t="s">
        <v>747</v>
      </c>
      <c r="C764" s="133" t="s">
        <v>760</v>
      </c>
      <c r="D764" s="134"/>
      <c r="E764" s="116"/>
      <c r="F764" s="135">
        <v>0.137</v>
      </c>
      <c r="G764" s="118"/>
    </row>
    <row r="765">
      <c r="A765" s="132">
        <v>764.0</v>
      </c>
      <c r="B765" s="132" t="s">
        <v>747</v>
      </c>
      <c r="C765" s="133" t="s">
        <v>62</v>
      </c>
      <c r="D765" s="134"/>
      <c r="E765" s="116"/>
      <c r="F765" s="135">
        <v>0.126</v>
      </c>
      <c r="G765" s="118"/>
    </row>
    <row r="766">
      <c r="A766" s="132">
        <v>765.0</v>
      </c>
      <c r="B766" s="132" t="s">
        <v>728</v>
      </c>
      <c r="C766" s="133" t="s">
        <v>761</v>
      </c>
      <c r="D766" s="133" t="s">
        <v>762</v>
      </c>
      <c r="E766" s="116"/>
      <c r="F766" s="135">
        <v>0.142</v>
      </c>
      <c r="G766" s="118"/>
    </row>
    <row r="767">
      <c r="A767" s="132">
        <v>766.0</v>
      </c>
      <c r="B767" s="132" t="s">
        <v>728</v>
      </c>
      <c r="C767" s="133" t="s">
        <v>761</v>
      </c>
      <c r="D767" s="133" t="s">
        <v>763</v>
      </c>
      <c r="E767" s="116"/>
      <c r="F767" s="135">
        <v>0.142</v>
      </c>
      <c r="G767" s="118"/>
    </row>
    <row r="768">
      <c r="A768" s="132">
        <v>767.0</v>
      </c>
      <c r="B768" s="132" t="s">
        <v>728</v>
      </c>
      <c r="C768" s="133" t="s">
        <v>761</v>
      </c>
      <c r="D768" s="133" t="s">
        <v>764</v>
      </c>
      <c r="E768" s="116"/>
      <c r="F768" s="135">
        <v>0.142</v>
      </c>
      <c r="G768" s="118"/>
    </row>
    <row r="769">
      <c r="A769" s="132">
        <v>768.0</v>
      </c>
      <c r="B769" s="132" t="s">
        <v>728</v>
      </c>
      <c r="C769" s="133" t="s">
        <v>761</v>
      </c>
      <c r="D769" s="133" t="s">
        <v>765</v>
      </c>
      <c r="E769" s="116"/>
      <c r="F769" s="135">
        <v>0.142</v>
      </c>
      <c r="G769" s="118"/>
    </row>
    <row r="770">
      <c r="A770" s="132">
        <v>769.0</v>
      </c>
      <c r="B770" s="132" t="s">
        <v>728</v>
      </c>
      <c r="C770" s="133" t="s">
        <v>761</v>
      </c>
      <c r="D770" s="133" t="s">
        <v>766</v>
      </c>
      <c r="E770" s="116"/>
      <c r="F770" s="135">
        <v>0.142</v>
      </c>
      <c r="G770" s="118"/>
    </row>
    <row r="771">
      <c r="A771" s="132">
        <v>770.0</v>
      </c>
      <c r="B771" s="132" t="s">
        <v>728</v>
      </c>
      <c r="C771" s="133" t="s">
        <v>761</v>
      </c>
      <c r="D771" s="133" t="s">
        <v>767</v>
      </c>
      <c r="E771" s="116"/>
      <c r="F771" s="135">
        <v>0.142</v>
      </c>
      <c r="G771" s="118"/>
    </row>
    <row r="772">
      <c r="A772" s="132">
        <v>771.0</v>
      </c>
      <c r="B772" s="132" t="s">
        <v>728</v>
      </c>
      <c r="C772" s="133" t="s">
        <v>761</v>
      </c>
      <c r="D772" s="133" t="s">
        <v>62</v>
      </c>
      <c r="E772" s="116"/>
      <c r="F772" s="135">
        <v>0.142</v>
      </c>
      <c r="G772" s="118"/>
    </row>
    <row r="773">
      <c r="A773" s="132">
        <v>772.0</v>
      </c>
      <c r="B773" s="132" t="s">
        <v>728</v>
      </c>
      <c r="C773" s="133" t="s">
        <v>761</v>
      </c>
      <c r="D773" s="133" t="s">
        <v>768</v>
      </c>
      <c r="E773" s="116"/>
      <c r="F773" s="135">
        <v>0.142</v>
      </c>
      <c r="G773" s="118"/>
    </row>
    <row r="774">
      <c r="A774" s="132">
        <v>773.0</v>
      </c>
      <c r="B774" s="132" t="s">
        <v>728</v>
      </c>
      <c r="C774" s="133" t="s">
        <v>761</v>
      </c>
      <c r="D774" s="133" t="s">
        <v>769</v>
      </c>
      <c r="E774" s="116"/>
      <c r="F774" s="135">
        <v>0.142</v>
      </c>
      <c r="G774" s="118"/>
    </row>
    <row r="775">
      <c r="A775" s="132">
        <v>774.0</v>
      </c>
      <c r="B775" s="132" t="s">
        <v>728</v>
      </c>
      <c r="C775" s="133" t="s">
        <v>761</v>
      </c>
      <c r="D775" s="133" t="s">
        <v>770</v>
      </c>
      <c r="E775" s="116"/>
      <c r="F775" s="135">
        <v>0.142</v>
      </c>
      <c r="G775" s="118"/>
    </row>
    <row r="776">
      <c r="A776" s="132">
        <v>775.0</v>
      </c>
      <c r="B776" s="132" t="s">
        <v>728</v>
      </c>
      <c r="C776" s="133" t="s">
        <v>761</v>
      </c>
      <c r="D776" s="133" t="s">
        <v>771</v>
      </c>
      <c r="E776" s="116"/>
      <c r="F776" s="135">
        <v>0.142</v>
      </c>
      <c r="G776" s="118"/>
    </row>
    <row r="777">
      <c r="A777" s="132">
        <v>776.0</v>
      </c>
      <c r="B777" s="132" t="s">
        <v>728</v>
      </c>
      <c r="C777" s="133" t="s">
        <v>761</v>
      </c>
      <c r="D777" s="133" t="s">
        <v>772</v>
      </c>
      <c r="E777" s="116"/>
      <c r="F777" s="135">
        <v>0.142</v>
      </c>
      <c r="G777" s="118"/>
    </row>
    <row r="778">
      <c r="A778" s="132">
        <v>777.0</v>
      </c>
      <c r="B778" s="132" t="s">
        <v>728</v>
      </c>
      <c r="C778" s="133" t="s">
        <v>761</v>
      </c>
      <c r="D778" s="133" t="s">
        <v>773</v>
      </c>
      <c r="E778" s="116"/>
      <c r="F778" s="135">
        <v>0.142</v>
      </c>
      <c r="G778" s="118"/>
    </row>
    <row r="779">
      <c r="A779" s="132">
        <v>778.0</v>
      </c>
      <c r="B779" s="132" t="s">
        <v>650</v>
      </c>
      <c r="C779" s="133" t="s">
        <v>774</v>
      </c>
      <c r="D779" s="133" t="s">
        <v>775</v>
      </c>
      <c r="E779" s="116"/>
      <c r="F779" s="135">
        <v>0.137</v>
      </c>
      <c r="G779" s="118"/>
    </row>
    <row r="780">
      <c r="A780" s="132">
        <v>779.0</v>
      </c>
      <c r="B780" s="132" t="s">
        <v>650</v>
      </c>
      <c r="C780" s="133" t="s">
        <v>774</v>
      </c>
      <c r="D780" s="133" t="s">
        <v>776</v>
      </c>
      <c r="E780" s="116"/>
      <c r="F780" s="135">
        <v>0.137</v>
      </c>
      <c r="G780" s="118"/>
    </row>
    <row r="781">
      <c r="A781" s="132">
        <v>780.0</v>
      </c>
      <c r="B781" s="132" t="s">
        <v>650</v>
      </c>
      <c r="C781" s="133" t="s">
        <v>774</v>
      </c>
      <c r="D781" s="133" t="s">
        <v>62</v>
      </c>
      <c r="E781" s="116"/>
      <c r="F781" s="135">
        <v>0.137</v>
      </c>
      <c r="G781" s="118"/>
    </row>
    <row r="782">
      <c r="A782" s="132">
        <v>781.0</v>
      </c>
      <c r="B782" s="132" t="s">
        <v>650</v>
      </c>
      <c r="C782" s="133" t="s">
        <v>777</v>
      </c>
      <c r="D782" s="133" t="s">
        <v>778</v>
      </c>
      <c r="E782" s="116"/>
      <c r="F782" s="135">
        <v>0.142</v>
      </c>
      <c r="G782" s="118"/>
    </row>
    <row r="783">
      <c r="A783" s="132">
        <v>782.0</v>
      </c>
      <c r="B783" s="132" t="s">
        <v>650</v>
      </c>
      <c r="C783" s="133" t="s">
        <v>777</v>
      </c>
      <c r="D783" s="133" t="s">
        <v>779</v>
      </c>
      <c r="E783" s="116"/>
      <c r="F783" s="135">
        <v>0.142</v>
      </c>
      <c r="G783" s="118"/>
    </row>
    <row r="784">
      <c r="A784" s="132">
        <v>783.0</v>
      </c>
      <c r="B784" s="132" t="s">
        <v>650</v>
      </c>
      <c r="C784" s="133" t="s">
        <v>777</v>
      </c>
      <c r="D784" s="133" t="s">
        <v>780</v>
      </c>
      <c r="E784" s="116"/>
      <c r="F784" s="135">
        <v>0.142</v>
      </c>
      <c r="G784" s="118"/>
    </row>
    <row r="785">
      <c r="A785" s="132">
        <v>784.0</v>
      </c>
      <c r="B785" s="132" t="s">
        <v>650</v>
      </c>
      <c r="C785" s="133" t="s">
        <v>777</v>
      </c>
      <c r="D785" s="133" t="s">
        <v>781</v>
      </c>
      <c r="E785" s="116"/>
      <c r="F785" s="135">
        <v>0.142</v>
      </c>
      <c r="G785" s="118"/>
    </row>
    <row r="786">
      <c r="A786" s="132">
        <v>785.0</v>
      </c>
      <c r="B786" s="132" t="s">
        <v>650</v>
      </c>
      <c r="C786" s="133" t="s">
        <v>777</v>
      </c>
      <c r="D786" s="133" t="s">
        <v>782</v>
      </c>
      <c r="E786" s="116"/>
      <c r="F786" s="135">
        <v>0.142</v>
      </c>
      <c r="G786" s="118"/>
    </row>
    <row r="787">
      <c r="A787" s="132">
        <v>786.0</v>
      </c>
      <c r="B787" s="132" t="s">
        <v>650</v>
      </c>
      <c r="C787" s="133" t="s">
        <v>777</v>
      </c>
      <c r="D787" s="133" t="s">
        <v>62</v>
      </c>
      <c r="E787" s="116"/>
      <c r="F787" s="135">
        <v>0.142</v>
      </c>
      <c r="G787" s="118"/>
    </row>
    <row r="788">
      <c r="A788" s="132">
        <v>787.0</v>
      </c>
      <c r="B788" s="132" t="s">
        <v>650</v>
      </c>
      <c r="C788" s="133" t="s">
        <v>777</v>
      </c>
      <c r="D788" s="133" t="s">
        <v>783</v>
      </c>
      <c r="E788" s="116"/>
      <c r="F788" s="135">
        <v>0.142</v>
      </c>
      <c r="G788" s="118"/>
    </row>
    <row r="789">
      <c r="A789" s="132">
        <v>788.0</v>
      </c>
      <c r="B789" s="132" t="s">
        <v>650</v>
      </c>
      <c r="C789" s="133" t="s">
        <v>651</v>
      </c>
      <c r="D789" s="133" t="s">
        <v>784</v>
      </c>
      <c r="E789" s="116"/>
      <c r="F789" s="135">
        <v>0.142</v>
      </c>
      <c r="G789" s="118"/>
    </row>
    <row r="790">
      <c r="A790" s="132">
        <v>789.0</v>
      </c>
      <c r="B790" s="132" t="s">
        <v>650</v>
      </c>
      <c r="C790" s="133" t="s">
        <v>651</v>
      </c>
      <c r="D790" s="133" t="s">
        <v>785</v>
      </c>
      <c r="E790" s="116"/>
      <c r="F790" s="135">
        <v>0.115</v>
      </c>
      <c r="G790" s="118"/>
    </row>
    <row r="791">
      <c r="A791" s="132">
        <v>790.0</v>
      </c>
      <c r="B791" s="132" t="s">
        <v>650</v>
      </c>
      <c r="C791" s="133" t="s">
        <v>651</v>
      </c>
      <c r="D791" s="133" t="s">
        <v>786</v>
      </c>
      <c r="E791" s="116"/>
      <c r="F791" s="135">
        <v>0.142</v>
      </c>
      <c r="G791" s="118"/>
    </row>
    <row r="792">
      <c r="A792" s="132">
        <v>791.0</v>
      </c>
      <c r="B792" s="132" t="s">
        <v>650</v>
      </c>
      <c r="C792" s="133" t="s">
        <v>651</v>
      </c>
      <c r="D792" s="133" t="s">
        <v>787</v>
      </c>
      <c r="E792" s="116"/>
      <c r="F792" s="135">
        <v>0.142</v>
      </c>
      <c r="G792" s="118"/>
    </row>
    <row r="793">
      <c r="A793" s="132">
        <v>792.0</v>
      </c>
      <c r="B793" s="132" t="s">
        <v>650</v>
      </c>
      <c r="C793" s="133" t="s">
        <v>651</v>
      </c>
      <c r="D793" s="133" t="s">
        <v>62</v>
      </c>
      <c r="E793" s="116"/>
      <c r="F793" s="135">
        <v>0.142</v>
      </c>
      <c r="G793" s="118"/>
    </row>
    <row r="794">
      <c r="A794" s="132">
        <v>793.0</v>
      </c>
      <c r="B794" s="132" t="s">
        <v>650</v>
      </c>
      <c r="C794" s="133" t="s">
        <v>651</v>
      </c>
      <c r="D794" s="133" t="s">
        <v>788</v>
      </c>
      <c r="E794" s="116"/>
      <c r="F794" s="135">
        <v>0.142</v>
      </c>
      <c r="G794" s="118"/>
    </row>
    <row r="795">
      <c r="A795" s="132">
        <v>794.0</v>
      </c>
      <c r="B795" s="132" t="s">
        <v>650</v>
      </c>
      <c r="C795" s="133" t="s">
        <v>651</v>
      </c>
      <c r="D795" s="133" t="s">
        <v>789</v>
      </c>
      <c r="E795" s="116"/>
      <c r="F795" s="135">
        <v>0.115</v>
      </c>
      <c r="G795" s="118"/>
    </row>
    <row r="796">
      <c r="A796" s="132">
        <v>795.0</v>
      </c>
      <c r="B796" s="132" t="s">
        <v>650</v>
      </c>
      <c r="C796" s="133" t="s">
        <v>790</v>
      </c>
      <c r="D796" s="133" t="s">
        <v>791</v>
      </c>
      <c r="E796" s="116"/>
      <c r="F796" s="135">
        <v>0.142</v>
      </c>
      <c r="G796" s="118"/>
    </row>
    <row r="797">
      <c r="A797" s="132">
        <v>796.0</v>
      </c>
      <c r="B797" s="132" t="s">
        <v>650</v>
      </c>
      <c r="C797" s="133" t="s">
        <v>790</v>
      </c>
      <c r="D797" s="133" t="s">
        <v>792</v>
      </c>
      <c r="E797" s="116"/>
      <c r="F797" s="135">
        <v>0.142</v>
      </c>
      <c r="G797" s="118"/>
    </row>
    <row r="798">
      <c r="A798" s="132">
        <v>797.0</v>
      </c>
      <c r="B798" s="132" t="s">
        <v>650</v>
      </c>
      <c r="C798" s="133" t="s">
        <v>790</v>
      </c>
      <c r="D798" s="133" t="s">
        <v>793</v>
      </c>
      <c r="E798" s="116"/>
      <c r="F798" s="135">
        <v>0.142</v>
      </c>
      <c r="G798" s="118"/>
    </row>
    <row r="799">
      <c r="A799" s="132">
        <v>798.0</v>
      </c>
      <c r="B799" s="132" t="s">
        <v>650</v>
      </c>
      <c r="C799" s="133" t="s">
        <v>790</v>
      </c>
      <c r="D799" s="133" t="s">
        <v>794</v>
      </c>
      <c r="E799" s="116"/>
      <c r="F799" s="135">
        <v>0.142</v>
      </c>
      <c r="G799" s="118"/>
    </row>
    <row r="800">
      <c r="A800" s="132">
        <v>799.0</v>
      </c>
      <c r="B800" s="132" t="s">
        <v>650</v>
      </c>
      <c r="C800" s="133" t="s">
        <v>790</v>
      </c>
      <c r="D800" s="133" t="s">
        <v>795</v>
      </c>
      <c r="E800" s="116"/>
      <c r="F800" s="135">
        <v>0.142</v>
      </c>
      <c r="G800" s="118"/>
    </row>
    <row r="801">
      <c r="A801" s="132">
        <v>800.0</v>
      </c>
      <c r="B801" s="132" t="s">
        <v>650</v>
      </c>
      <c r="C801" s="133" t="s">
        <v>790</v>
      </c>
      <c r="D801" s="133" t="s">
        <v>796</v>
      </c>
      <c r="E801" s="116"/>
      <c r="F801" s="135">
        <v>0.142</v>
      </c>
      <c r="G801" s="118"/>
    </row>
    <row r="802">
      <c r="A802" s="132">
        <v>801.0</v>
      </c>
      <c r="B802" s="132" t="s">
        <v>650</v>
      </c>
      <c r="C802" s="133" t="s">
        <v>790</v>
      </c>
      <c r="D802" s="133" t="s">
        <v>797</v>
      </c>
      <c r="E802" s="116"/>
      <c r="F802" s="135">
        <v>0.142</v>
      </c>
      <c r="G802" s="118"/>
    </row>
    <row r="803">
      <c r="A803" s="132">
        <v>802.0</v>
      </c>
      <c r="B803" s="132" t="s">
        <v>650</v>
      </c>
      <c r="C803" s="133" t="s">
        <v>790</v>
      </c>
      <c r="D803" s="133" t="s">
        <v>798</v>
      </c>
      <c r="E803" s="116"/>
      <c r="F803" s="135">
        <v>0.142</v>
      </c>
      <c r="G803" s="118"/>
    </row>
    <row r="804">
      <c r="A804" s="132">
        <v>803.0</v>
      </c>
      <c r="B804" s="132" t="s">
        <v>650</v>
      </c>
      <c r="C804" s="133" t="s">
        <v>799</v>
      </c>
      <c r="D804" s="133" t="s">
        <v>800</v>
      </c>
      <c r="E804" s="116"/>
      <c r="F804" s="135">
        <v>0.126</v>
      </c>
      <c r="G804" s="118"/>
    </row>
    <row r="805">
      <c r="A805" s="132">
        <v>804.0</v>
      </c>
      <c r="B805" s="132" t="s">
        <v>650</v>
      </c>
      <c r="C805" s="133" t="s">
        <v>665</v>
      </c>
      <c r="D805" s="133" t="s">
        <v>801</v>
      </c>
      <c r="E805" s="116"/>
      <c r="F805" s="135">
        <v>0.145</v>
      </c>
      <c r="G805" s="118"/>
    </row>
    <row r="806">
      <c r="A806" s="132">
        <v>805.0</v>
      </c>
      <c r="B806" s="132" t="s">
        <v>650</v>
      </c>
      <c r="C806" s="133" t="s">
        <v>665</v>
      </c>
      <c r="D806" s="133" t="s">
        <v>62</v>
      </c>
      <c r="E806" s="116"/>
      <c r="F806" s="135">
        <v>0.145</v>
      </c>
      <c r="G806" s="118"/>
    </row>
    <row r="807">
      <c r="A807" s="132">
        <v>806.0</v>
      </c>
      <c r="B807" s="132" t="s">
        <v>650</v>
      </c>
      <c r="C807" s="133" t="s">
        <v>668</v>
      </c>
      <c r="D807" s="133" t="s">
        <v>802</v>
      </c>
      <c r="E807" s="116"/>
      <c r="F807" s="135">
        <v>0.137</v>
      </c>
      <c r="G807" s="118"/>
    </row>
    <row r="808">
      <c r="A808" s="132">
        <v>807.0</v>
      </c>
      <c r="B808" s="132" t="s">
        <v>650</v>
      </c>
      <c r="C808" s="133" t="s">
        <v>668</v>
      </c>
      <c r="D808" s="133" t="s">
        <v>62</v>
      </c>
      <c r="E808" s="116"/>
      <c r="F808" s="135">
        <v>0.137</v>
      </c>
      <c r="G808" s="118"/>
    </row>
    <row r="809">
      <c r="A809" s="132">
        <v>808.0</v>
      </c>
      <c r="B809" s="132" t="s">
        <v>650</v>
      </c>
      <c r="C809" s="133" t="s">
        <v>668</v>
      </c>
      <c r="D809" s="133" t="s">
        <v>803</v>
      </c>
      <c r="E809" s="116"/>
      <c r="F809" s="135">
        <v>0.137</v>
      </c>
      <c r="G809" s="118"/>
    </row>
    <row r="810">
      <c r="A810" s="132">
        <v>809.0</v>
      </c>
      <c r="B810" s="132" t="s">
        <v>650</v>
      </c>
      <c r="C810" s="133" t="s">
        <v>62</v>
      </c>
      <c r="D810" s="134"/>
      <c r="E810" s="116"/>
      <c r="F810" s="135">
        <v>0.137</v>
      </c>
      <c r="G810" s="118"/>
    </row>
    <row r="811">
      <c r="A811" s="132">
        <v>810.0</v>
      </c>
      <c r="B811" s="132" t="s">
        <v>650</v>
      </c>
      <c r="C811" s="133" t="s">
        <v>672</v>
      </c>
      <c r="D811" s="133" t="s">
        <v>804</v>
      </c>
      <c r="E811" s="116"/>
      <c r="F811" s="135">
        <v>0.142</v>
      </c>
      <c r="G811" s="118"/>
    </row>
    <row r="812">
      <c r="A812" s="132">
        <v>811.0</v>
      </c>
      <c r="B812" s="132" t="s">
        <v>650</v>
      </c>
      <c r="C812" s="133" t="s">
        <v>672</v>
      </c>
      <c r="D812" s="133" t="s">
        <v>805</v>
      </c>
      <c r="E812" s="116"/>
      <c r="F812" s="135">
        <v>0.142</v>
      </c>
      <c r="G812" s="118"/>
    </row>
    <row r="813">
      <c r="A813" s="132">
        <v>812.0</v>
      </c>
      <c r="B813" s="132" t="s">
        <v>650</v>
      </c>
      <c r="C813" s="133" t="s">
        <v>672</v>
      </c>
      <c r="D813" s="133" t="s">
        <v>806</v>
      </c>
      <c r="E813" s="116"/>
      <c r="F813" s="135">
        <v>0.142</v>
      </c>
      <c r="G813" s="118"/>
    </row>
    <row r="814">
      <c r="A814" s="132">
        <v>813.0</v>
      </c>
      <c r="B814" s="132" t="s">
        <v>650</v>
      </c>
      <c r="C814" s="133" t="s">
        <v>672</v>
      </c>
      <c r="D814" s="133" t="s">
        <v>62</v>
      </c>
      <c r="E814" s="116"/>
      <c r="F814" s="135">
        <v>0.142</v>
      </c>
      <c r="G814" s="118"/>
    </row>
    <row r="815">
      <c r="A815" s="132">
        <v>814.0</v>
      </c>
      <c r="B815" s="132" t="s">
        <v>650</v>
      </c>
      <c r="C815" s="133" t="s">
        <v>672</v>
      </c>
      <c r="D815" s="133" t="s">
        <v>807</v>
      </c>
      <c r="E815" s="116"/>
      <c r="F815" s="135">
        <v>0.142</v>
      </c>
      <c r="G815" s="118"/>
    </row>
    <row r="816">
      <c r="A816" s="132">
        <v>815.0</v>
      </c>
      <c r="B816" s="132" t="s">
        <v>650</v>
      </c>
      <c r="C816" s="133" t="s">
        <v>672</v>
      </c>
      <c r="D816" s="133" t="s">
        <v>808</v>
      </c>
      <c r="E816" s="116"/>
      <c r="F816" s="135">
        <v>0.142</v>
      </c>
      <c r="G816" s="118"/>
    </row>
    <row r="817">
      <c r="A817" s="132">
        <v>816.0</v>
      </c>
      <c r="B817" s="132" t="s">
        <v>650</v>
      </c>
      <c r="C817" s="133" t="s">
        <v>672</v>
      </c>
      <c r="D817" s="133" t="s">
        <v>809</v>
      </c>
      <c r="E817" s="116"/>
      <c r="F817" s="135">
        <v>0.142</v>
      </c>
      <c r="G817" s="118"/>
    </row>
    <row r="818">
      <c r="A818" s="132">
        <v>817.0</v>
      </c>
      <c r="B818" s="132" t="s">
        <v>650</v>
      </c>
      <c r="C818" s="133" t="s">
        <v>672</v>
      </c>
      <c r="D818" s="133" t="s">
        <v>810</v>
      </c>
      <c r="E818" s="116"/>
      <c r="F818" s="135">
        <v>0.142</v>
      </c>
      <c r="G818" s="118"/>
    </row>
    <row r="819">
      <c r="A819" s="132">
        <v>818.0</v>
      </c>
      <c r="B819" s="132" t="s">
        <v>650</v>
      </c>
      <c r="C819" s="133" t="s">
        <v>672</v>
      </c>
      <c r="D819" s="133" t="s">
        <v>811</v>
      </c>
      <c r="E819" s="116"/>
      <c r="F819" s="135">
        <v>0.142</v>
      </c>
      <c r="G819" s="118"/>
    </row>
    <row r="820">
      <c r="A820" s="132">
        <v>819.0</v>
      </c>
      <c r="B820" s="132" t="s">
        <v>812</v>
      </c>
      <c r="C820" s="133" t="s">
        <v>813</v>
      </c>
      <c r="D820" s="133" t="s">
        <v>814</v>
      </c>
      <c r="E820" s="116"/>
      <c r="F820" s="135">
        <v>0.137</v>
      </c>
      <c r="G820" s="118"/>
    </row>
    <row r="821">
      <c r="A821" s="132">
        <v>820.0</v>
      </c>
      <c r="B821" s="132" t="s">
        <v>812</v>
      </c>
      <c r="C821" s="133" t="s">
        <v>813</v>
      </c>
      <c r="D821" s="133" t="s">
        <v>815</v>
      </c>
      <c r="E821" s="116"/>
      <c r="F821" s="135">
        <v>0.137</v>
      </c>
      <c r="G821" s="118"/>
    </row>
    <row r="822">
      <c r="A822" s="132">
        <v>821.0</v>
      </c>
      <c r="B822" s="132" t="s">
        <v>812</v>
      </c>
      <c r="C822" s="133" t="s">
        <v>813</v>
      </c>
      <c r="D822" s="133" t="s">
        <v>816</v>
      </c>
      <c r="E822" s="116"/>
      <c r="F822" s="135">
        <v>0.137</v>
      </c>
      <c r="G822" s="118"/>
    </row>
    <row r="823">
      <c r="A823" s="132">
        <v>822.0</v>
      </c>
      <c r="B823" s="132" t="s">
        <v>812</v>
      </c>
      <c r="C823" s="133" t="s">
        <v>813</v>
      </c>
      <c r="D823" s="133" t="s">
        <v>62</v>
      </c>
      <c r="E823" s="116"/>
      <c r="F823" s="135">
        <v>0.137</v>
      </c>
      <c r="G823" s="118"/>
    </row>
    <row r="824">
      <c r="A824" s="132">
        <v>823.0</v>
      </c>
      <c r="B824" s="132" t="s">
        <v>812</v>
      </c>
      <c r="C824" s="133" t="s">
        <v>813</v>
      </c>
      <c r="D824" s="133" t="s">
        <v>817</v>
      </c>
      <c r="E824" s="116"/>
      <c r="F824" s="135">
        <v>0.137</v>
      </c>
      <c r="G824" s="118"/>
    </row>
    <row r="825">
      <c r="A825" s="132">
        <v>824.0</v>
      </c>
      <c r="B825" s="132" t="s">
        <v>812</v>
      </c>
      <c r="C825" s="133" t="s">
        <v>813</v>
      </c>
      <c r="D825" s="133" t="s">
        <v>818</v>
      </c>
      <c r="E825" s="116"/>
      <c r="F825" s="135">
        <v>0.137</v>
      </c>
      <c r="G825" s="118"/>
    </row>
    <row r="826">
      <c r="A826" s="132">
        <v>825.0</v>
      </c>
      <c r="B826" s="132" t="s">
        <v>812</v>
      </c>
      <c r="C826" s="133" t="s">
        <v>62</v>
      </c>
      <c r="D826" s="134"/>
      <c r="E826" s="116"/>
      <c r="F826" s="135">
        <v>0.137</v>
      </c>
      <c r="G826" s="118"/>
    </row>
    <row r="827">
      <c r="A827" s="132">
        <v>826.0</v>
      </c>
      <c r="B827" s="132" t="s">
        <v>812</v>
      </c>
      <c r="C827" s="133" t="s">
        <v>819</v>
      </c>
      <c r="D827" s="133" t="s">
        <v>820</v>
      </c>
      <c r="E827" s="116"/>
      <c r="F827" s="135">
        <v>0.137</v>
      </c>
      <c r="G827" s="118"/>
    </row>
    <row r="828">
      <c r="A828" s="132">
        <v>827.0</v>
      </c>
      <c r="B828" s="132" t="s">
        <v>812</v>
      </c>
      <c r="C828" s="133" t="s">
        <v>819</v>
      </c>
      <c r="D828" s="133" t="s">
        <v>821</v>
      </c>
      <c r="E828" s="116"/>
      <c r="F828" s="135">
        <v>0.137</v>
      </c>
      <c r="G828" s="118"/>
    </row>
    <row r="829">
      <c r="A829" s="132">
        <v>828.0</v>
      </c>
      <c r="B829" s="132" t="s">
        <v>812</v>
      </c>
      <c r="C829" s="133" t="s">
        <v>819</v>
      </c>
      <c r="D829" s="133" t="s">
        <v>822</v>
      </c>
      <c r="E829" s="116"/>
      <c r="F829" s="135">
        <v>0.137</v>
      </c>
      <c r="G829" s="118"/>
    </row>
    <row r="830">
      <c r="A830" s="132">
        <v>829.0</v>
      </c>
      <c r="B830" s="132" t="s">
        <v>812</v>
      </c>
      <c r="C830" s="133" t="s">
        <v>819</v>
      </c>
      <c r="D830" s="133" t="s">
        <v>62</v>
      </c>
      <c r="E830" s="116"/>
      <c r="F830" s="135">
        <v>0.137</v>
      </c>
      <c r="G830" s="118"/>
    </row>
    <row r="831">
      <c r="A831" s="132">
        <v>830.0</v>
      </c>
      <c r="B831" s="132" t="s">
        <v>812</v>
      </c>
      <c r="C831" s="133" t="s">
        <v>819</v>
      </c>
      <c r="D831" s="133" t="s">
        <v>823</v>
      </c>
      <c r="E831" s="116"/>
      <c r="F831" s="135">
        <v>0.137</v>
      </c>
      <c r="G831" s="118"/>
    </row>
    <row r="832">
      <c r="A832" s="132">
        <v>831.0</v>
      </c>
      <c r="B832" s="132" t="s">
        <v>812</v>
      </c>
      <c r="C832" s="133" t="s">
        <v>819</v>
      </c>
      <c r="D832" s="133" t="s">
        <v>672</v>
      </c>
      <c r="E832" s="116"/>
      <c r="F832" s="135">
        <v>0.137</v>
      </c>
      <c r="G832" s="118"/>
    </row>
    <row r="833">
      <c r="A833" s="132">
        <v>832.0</v>
      </c>
      <c r="B833" s="132" t="s">
        <v>812</v>
      </c>
      <c r="C833" s="133" t="s">
        <v>819</v>
      </c>
      <c r="D833" s="133" t="s">
        <v>824</v>
      </c>
      <c r="E833" s="116"/>
      <c r="F833" s="135">
        <v>0.137</v>
      </c>
      <c r="G833" s="118"/>
    </row>
    <row r="834">
      <c r="A834" s="132">
        <v>833.0</v>
      </c>
      <c r="B834" s="132" t="s">
        <v>812</v>
      </c>
      <c r="C834" s="133" t="s">
        <v>825</v>
      </c>
      <c r="D834" s="133" t="s">
        <v>826</v>
      </c>
      <c r="E834" s="116"/>
      <c r="F834" s="135">
        <v>0.137</v>
      </c>
      <c r="G834" s="118"/>
    </row>
    <row r="835">
      <c r="A835" s="132">
        <v>834.0</v>
      </c>
      <c r="B835" s="132" t="s">
        <v>812</v>
      </c>
      <c r="C835" s="133" t="s">
        <v>825</v>
      </c>
      <c r="D835" s="133" t="s">
        <v>374</v>
      </c>
      <c r="E835" s="116"/>
      <c r="F835" s="135">
        <v>0.137</v>
      </c>
      <c r="G835" s="118"/>
    </row>
    <row r="836">
      <c r="A836" s="132">
        <v>835.0</v>
      </c>
      <c r="B836" s="132" t="s">
        <v>812</v>
      </c>
      <c r="C836" s="133" t="s">
        <v>825</v>
      </c>
      <c r="D836" s="133" t="s">
        <v>827</v>
      </c>
      <c r="E836" s="116"/>
      <c r="F836" s="135">
        <v>0.137</v>
      </c>
      <c r="G836" s="118"/>
    </row>
    <row r="837">
      <c r="A837" s="132">
        <v>836.0</v>
      </c>
      <c r="B837" s="132" t="s">
        <v>812</v>
      </c>
      <c r="C837" s="133" t="s">
        <v>825</v>
      </c>
      <c r="D837" s="133" t="s">
        <v>828</v>
      </c>
      <c r="E837" s="116"/>
      <c r="F837" s="135">
        <v>0.137</v>
      </c>
      <c r="G837" s="118"/>
    </row>
    <row r="838">
      <c r="A838" s="132">
        <v>837.0</v>
      </c>
      <c r="B838" s="132" t="s">
        <v>812</v>
      </c>
      <c r="C838" s="133" t="s">
        <v>825</v>
      </c>
      <c r="D838" s="133" t="s">
        <v>829</v>
      </c>
      <c r="E838" s="116"/>
      <c r="F838" s="135">
        <v>0.137</v>
      </c>
      <c r="G838" s="118"/>
    </row>
    <row r="839">
      <c r="A839" s="132">
        <v>838.0</v>
      </c>
      <c r="B839" s="132" t="s">
        <v>812</v>
      </c>
      <c r="C839" s="133" t="s">
        <v>825</v>
      </c>
      <c r="D839" s="133" t="s">
        <v>62</v>
      </c>
      <c r="E839" s="116"/>
      <c r="F839" s="135">
        <v>0.137</v>
      </c>
      <c r="G839" s="118"/>
    </row>
    <row r="840">
      <c r="A840" s="132">
        <v>839.0</v>
      </c>
      <c r="B840" s="132" t="s">
        <v>812</v>
      </c>
      <c r="C840" s="133" t="s">
        <v>825</v>
      </c>
      <c r="D840" s="133" t="s">
        <v>830</v>
      </c>
      <c r="E840" s="116"/>
      <c r="F840" s="135">
        <v>0.137</v>
      </c>
      <c r="G840" s="118"/>
    </row>
    <row r="841">
      <c r="A841" s="132">
        <v>840.0</v>
      </c>
      <c r="B841" s="132" t="s">
        <v>812</v>
      </c>
      <c r="C841" s="133" t="s">
        <v>825</v>
      </c>
      <c r="D841" s="133" t="s">
        <v>831</v>
      </c>
      <c r="E841" s="116"/>
      <c r="F841" s="135">
        <v>0.137</v>
      </c>
      <c r="G841" s="118"/>
    </row>
    <row r="842">
      <c r="A842" s="132">
        <v>841.0</v>
      </c>
      <c r="B842" s="132" t="s">
        <v>812</v>
      </c>
      <c r="C842" s="133" t="s">
        <v>832</v>
      </c>
      <c r="D842" s="133" t="s">
        <v>833</v>
      </c>
      <c r="E842" s="116"/>
      <c r="F842" s="135">
        <v>0.142</v>
      </c>
      <c r="G842" s="118"/>
    </row>
    <row r="843">
      <c r="A843" s="132">
        <v>842.0</v>
      </c>
      <c r="B843" s="132" t="s">
        <v>812</v>
      </c>
      <c r="C843" s="133" t="s">
        <v>832</v>
      </c>
      <c r="D843" s="133" t="s">
        <v>834</v>
      </c>
      <c r="E843" s="116"/>
      <c r="F843" s="135">
        <v>0.142</v>
      </c>
      <c r="G843" s="118"/>
    </row>
    <row r="844">
      <c r="A844" s="132">
        <v>843.0</v>
      </c>
      <c r="B844" s="132" t="s">
        <v>812</v>
      </c>
      <c r="C844" s="133" t="s">
        <v>832</v>
      </c>
      <c r="D844" s="133" t="s">
        <v>835</v>
      </c>
      <c r="E844" s="116"/>
      <c r="F844" s="135">
        <v>0.142</v>
      </c>
      <c r="G844" s="118"/>
    </row>
    <row r="845">
      <c r="A845" s="132">
        <v>844.0</v>
      </c>
      <c r="B845" s="132" t="s">
        <v>812</v>
      </c>
      <c r="C845" s="133" t="s">
        <v>832</v>
      </c>
      <c r="D845" s="133" t="s">
        <v>836</v>
      </c>
      <c r="E845" s="116"/>
      <c r="F845" s="135">
        <v>0.142</v>
      </c>
      <c r="G845" s="118"/>
    </row>
    <row r="846">
      <c r="A846" s="132">
        <v>845.0</v>
      </c>
      <c r="B846" s="132" t="s">
        <v>812</v>
      </c>
      <c r="C846" s="133" t="s">
        <v>832</v>
      </c>
      <c r="D846" s="133" t="s">
        <v>837</v>
      </c>
      <c r="E846" s="116"/>
      <c r="F846" s="135">
        <v>0.142</v>
      </c>
      <c r="G846" s="118"/>
    </row>
    <row r="847">
      <c r="A847" s="132">
        <v>846.0</v>
      </c>
      <c r="B847" s="132" t="s">
        <v>812</v>
      </c>
      <c r="C847" s="133" t="s">
        <v>832</v>
      </c>
      <c r="D847" s="133" t="s">
        <v>838</v>
      </c>
      <c r="E847" s="116"/>
      <c r="F847" s="135">
        <v>0.142</v>
      </c>
      <c r="G847" s="118"/>
    </row>
    <row r="848">
      <c r="A848" s="132">
        <v>847.0</v>
      </c>
      <c r="B848" s="132" t="s">
        <v>812</v>
      </c>
      <c r="C848" s="133" t="s">
        <v>832</v>
      </c>
      <c r="D848" s="133" t="s">
        <v>62</v>
      </c>
      <c r="E848" s="116"/>
      <c r="F848" s="135">
        <v>0.142</v>
      </c>
      <c r="G848" s="118"/>
    </row>
    <row r="849">
      <c r="A849" s="132">
        <v>848.0</v>
      </c>
      <c r="B849" s="132" t="s">
        <v>812</v>
      </c>
      <c r="C849" s="133" t="s">
        <v>832</v>
      </c>
      <c r="D849" s="133" t="s">
        <v>839</v>
      </c>
      <c r="E849" s="116"/>
      <c r="F849" s="135">
        <v>0.142</v>
      </c>
      <c r="G849" s="118"/>
    </row>
    <row r="850">
      <c r="A850" s="132">
        <v>849.0</v>
      </c>
      <c r="B850" s="132" t="s">
        <v>812</v>
      </c>
      <c r="C850" s="133" t="s">
        <v>832</v>
      </c>
      <c r="D850" s="133" t="s">
        <v>840</v>
      </c>
      <c r="E850" s="116"/>
      <c r="F850" s="135">
        <v>0.142</v>
      </c>
      <c r="G850" s="118"/>
    </row>
    <row r="851">
      <c r="A851" s="132">
        <v>850.0</v>
      </c>
      <c r="B851" s="132" t="s">
        <v>812</v>
      </c>
      <c r="C851" s="133" t="s">
        <v>832</v>
      </c>
      <c r="D851" s="133" t="s">
        <v>841</v>
      </c>
      <c r="E851" s="116"/>
      <c r="F851" s="135">
        <v>0.142</v>
      </c>
      <c r="G851" s="118"/>
    </row>
    <row r="852">
      <c r="A852" s="132">
        <v>851.0</v>
      </c>
      <c r="B852" s="132" t="s">
        <v>812</v>
      </c>
      <c r="C852" s="133" t="s">
        <v>842</v>
      </c>
      <c r="D852" s="133" t="s">
        <v>702</v>
      </c>
      <c r="E852" s="116"/>
      <c r="F852" s="135">
        <v>0.137</v>
      </c>
      <c r="G852" s="118"/>
    </row>
    <row r="853">
      <c r="A853" s="132">
        <v>852.0</v>
      </c>
      <c r="B853" s="132" t="s">
        <v>812</v>
      </c>
      <c r="C853" s="133" t="s">
        <v>842</v>
      </c>
      <c r="D853" s="133" t="s">
        <v>843</v>
      </c>
      <c r="E853" s="116"/>
      <c r="F853" s="135">
        <v>0.137</v>
      </c>
      <c r="G853" s="118"/>
    </row>
    <row r="854">
      <c r="A854" s="132">
        <v>853.0</v>
      </c>
      <c r="B854" s="132" t="s">
        <v>812</v>
      </c>
      <c r="C854" s="133" t="s">
        <v>842</v>
      </c>
      <c r="D854" s="133" t="s">
        <v>844</v>
      </c>
      <c r="E854" s="116"/>
      <c r="F854" s="135">
        <v>0.137</v>
      </c>
      <c r="G854" s="118"/>
    </row>
    <row r="855">
      <c r="A855" s="132">
        <v>854.0</v>
      </c>
      <c r="B855" s="132" t="s">
        <v>812</v>
      </c>
      <c r="C855" s="133" t="s">
        <v>842</v>
      </c>
      <c r="D855" s="133" t="s">
        <v>62</v>
      </c>
      <c r="E855" s="116"/>
      <c r="F855" s="135">
        <v>0.137</v>
      </c>
      <c r="G855" s="118"/>
    </row>
    <row r="856">
      <c r="A856" s="132">
        <v>855.0</v>
      </c>
      <c r="B856" s="132" t="s">
        <v>812</v>
      </c>
      <c r="C856" s="133" t="s">
        <v>280</v>
      </c>
      <c r="D856" s="133" t="s">
        <v>845</v>
      </c>
      <c r="E856" s="116"/>
      <c r="F856" s="135">
        <v>0.142</v>
      </c>
      <c r="G856" s="118"/>
    </row>
    <row r="857">
      <c r="A857" s="132">
        <v>856.0</v>
      </c>
      <c r="B857" s="132" t="s">
        <v>812</v>
      </c>
      <c r="C857" s="133" t="s">
        <v>280</v>
      </c>
      <c r="D857" s="133" t="s">
        <v>846</v>
      </c>
      <c r="E857" s="116"/>
      <c r="F857" s="135">
        <v>0.142</v>
      </c>
      <c r="G857" s="118"/>
    </row>
    <row r="858">
      <c r="A858" s="132">
        <v>857.0</v>
      </c>
      <c r="B858" s="132" t="s">
        <v>812</v>
      </c>
      <c r="C858" s="133" t="s">
        <v>280</v>
      </c>
      <c r="D858" s="133" t="s">
        <v>62</v>
      </c>
      <c r="E858" s="116"/>
      <c r="F858" s="135">
        <v>0.142</v>
      </c>
      <c r="G858" s="118"/>
    </row>
    <row r="859">
      <c r="A859" s="132">
        <v>858.0</v>
      </c>
      <c r="B859" s="132" t="s">
        <v>812</v>
      </c>
      <c r="C859" s="133" t="s">
        <v>280</v>
      </c>
      <c r="D859" s="133" t="s">
        <v>847</v>
      </c>
      <c r="E859" s="116"/>
      <c r="F859" s="135">
        <v>0.142</v>
      </c>
      <c r="G859" s="118"/>
    </row>
    <row r="860">
      <c r="A860" s="132">
        <v>859.0</v>
      </c>
      <c r="B860" s="132" t="s">
        <v>747</v>
      </c>
      <c r="C860" s="133" t="s">
        <v>848</v>
      </c>
      <c r="D860" s="133" t="s">
        <v>849</v>
      </c>
      <c r="E860" s="116"/>
      <c r="F860" s="135">
        <v>0.126</v>
      </c>
      <c r="G860" s="118"/>
    </row>
    <row r="861">
      <c r="A861" s="132">
        <v>860.0</v>
      </c>
      <c r="B861" s="132" t="s">
        <v>747</v>
      </c>
      <c r="C861" s="133" t="s">
        <v>848</v>
      </c>
      <c r="D861" s="133" t="s">
        <v>850</v>
      </c>
      <c r="E861" s="116"/>
      <c r="F861" s="135">
        <v>0.126</v>
      </c>
      <c r="G861" s="118"/>
    </row>
    <row r="862">
      <c r="A862" s="132">
        <v>861.0</v>
      </c>
      <c r="B862" s="132" t="s">
        <v>747</v>
      </c>
      <c r="C862" s="133" t="s">
        <v>848</v>
      </c>
      <c r="D862" s="133" t="s">
        <v>62</v>
      </c>
      <c r="E862" s="116"/>
      <c r="F862" s="135">
        <v>0.126</v>
      </c>
      <c r="G862" s="118"/>
    </row>
    <row r="863">
      <c r="A863" s="132">
        <v>862.0</v>
      </c>
      <c r="B863" s="132" t="s">
        <v>747</v>
      </c>
      <c r="C863" s="133" t="s">
        <v>848</v>
      </c>
      <c r="D863" s="133" t="s">
        <v>851</v>
      </c>
      <c r="E863" s="116"/>
      <c r="F863" s="135">
        <v>0.126</v>
      </c>
      <c r="G863" s="118"/>
    </row>
    <row r="864">
      <c r="A864" s="132">
        <v>863.0</v>
      </c>
      <c r="B864" s="132" t="s">
        <v>747</v>
      </c>
      <c r="C864" s="133" t="s">
        <v>852</v>
      </c>
      <c r="D864" s="133" t="s">
        <v>853</v>
      </c>
      <c r="E864" s="116"/>
      <c r="F864" s="135">
        <v>0.126</v>
      </c>
      <c r="G864" s="118"/>
    </row>
    <row r="865">
      <c r="A865" s="132">
        <v>864.0</v>
      </c>
      <c r="B865" s="132" t="s">
        <v>747</v>
      </c>
      <c r="C865" s="133" t="s">
        <v>852</v>
      </c>
      <c r="D865" s="133" t="s">
        <v>854</v>
      </c>
      <c r="E865" s="116"/>
      <c r="F865" s="135">
        <v>0.126</v>
      </c>
      <c r="G865" s="118"/>
    </row>
    <row r="866">
      <c r="A866" s="132">
        <v>865.0</v>
      </c>
      <c r="B866" s="132" t="s">
        <v>747</v>
      </c>
      <c r="C866" s="133" t="s">
        <v>852</v>
      </c>
      <c r="D866" s="133" t="s">
        <v>855</v>
      </c>
      <c r="E866" s="116"/>
      <c r="F866" s="135">
        <v>0.126</v>
      </c>
      <c r="G866" s="118"/>
    </row>
    <row r="867">
      <c r="A867" s="132">
        <v>866.0</v>
      </c>
      <c r="B867" s="132" t="s">
        <v>747</v>
      </c>
      <c r="C867" s="133" t="s">
        <v>852</v>
      </c>
      <c r="D867" s="133" t="s">
        <v>856</v>
      </c>
      <c r="E867" s="116"/>
      <c r="F867" s="135">
        <v>0.126</v>
      </c>
      <c r="G867" s="118"/>
    </row>
    <row r="868">
      <c r="A868" s="132">
        <v>867.0</v>
      </c>
      <c r="B868" s="132" t="s">
        <v>747</v>
      </c>
      <c r="C868" s="133" t="s">
        <v>852</v>
      </c>
      <c r="D868" s="133" t="s">
        <v>857</v>
      </c>
      <c r="E868" s="116"/>
      <c r="F868" s="135">
        <v>0.126</v>
      </c>
      <c r="G868" s="118"/>
    </row>
    <row r="869">
      <c r="A869" s="132">
        <v>868.0</v>
      </c>
      <c r="B869" s="132" t="s">
        <v>747</v>
      </c>
      <c r="C869" s="133" t="s">
        <v>852</v>
      </c>
      <c r="D869" s="133" t="s">
        <v>858</v>
      </c>
      <c r="E869" s="116"/>
      <c r="F869" s="135">
        <v>0.126</v>
      </c>
      <c r="G869" s="118"/>
    </row>
    <row r="870">
      <c r="A870" s="132">
        <v>869.0</v>
      </c>
      <c r="B870" s="132" t="s">
        <v>747</v>
      </c>
      <c r="C870" s="133" t="s">
        <v>852</v>
      </c>
      <c r="D870" s="133" t="s">
        <v>859</v>
      </c>
      <c r="E870" s="116"/>
      <c r="F870" s="135">
        <v>0.126</v>
      </c>
      <c r="G870" s="118"/>
    </row>
    <row r="871">
      <c r="A871" s="132">
        <v>870.0</v>
      </c>
      <c r="B871" s="132" t="s">
        <v>747</v>
      </c>
      <c r="C871" s="133" t="s">
        <v>852</v>
      </c>
      <c r="D871" s="133" t="s">
        <v>860</v>
      </c>
      <c r="E871" s="116"/>
      <c r="F871" s="135">
        <v>0.126</v>
      </c>
      <c r="G871" s="118"/>
    </row>
    <row r="872">
      <c r="A872" s="132">
        <v>871.0</v>
      </c>
      <c r="B872" s="132" t="s">
        <v>747</v>
      </c>
      <c r="C872" s="133" t="s">
        <v>852</v>
      </c>
      <c r="D872" s="133" t="s">
        <v>861</v>
      </c>
      <c r="E872" s="116"/>
      <c r="F872" s="135">
        <v>0.126</v>
      </c>
      <c r="G872" s="118"/>
    </row>
    <row r="873">
      <c r="A873" s="132">
        <v>872.0</v>
      </c>
      <c r="B873" s="132" t="s">
        <v>747</v>
      </c>
      <c r="C873" s="133" t="s">
        <v>852</v>
      </c>
      <c r="D873" s="133" t="s">
        <v>62</v>
      </c>
      <c r="E873" s="116"/>
      <c r="F873" s="135">
        <v>0.126</v>
      </c>
      <c r="G873" s="118"/>
    </row>
    <row r="874">
      <c r="A874" s="132">
        <v>873.0</v>
      </c>
      <c r="B874" s="132" t="s">
        <v>747</v>
      </c>
      <c r="C874" s="133" t="s">
        <v>852</v>
      </c>
      <c r="D874" s="133" t="s">
        <v>862</v>
      </c>
      <c r="E874" s="116"/>
      <c r="F874" s="135">
        <v>0.126</v>
      </c>
      <c r="G874" s="118"/>
    </row>
    <row r="875">
      <c r="A875" s="132">
        <v>874.0</v>
      </c>
      <c r="B875" s="132" t="s">
        <v>747</v>
      </c>
      <c r="C875" s="133" t="s">
        <v>852</v>
      </c>
      <c r="D875" s="133" t="s">
        <v>863</v>
      </c>
      <c r="E875" s="116"/>
      <c r="F875" s="135">
        <v>0.126</v>
      </c>
      <c r="G875" s="118"/>
    </row>
    <row r="876">
      <c r="A876" s="132">
        <v>875.0</v>
      </c>
      <c r="B876" s="132" t="s">
        <v>747</v>
      </c>
      <c r="C876" s="133" t="s">
        <v>852</v>
      </c>
      <c r="D876" s="133" t="s">
        <v>864</v>
      </c>
      <c r="E876" s="116"/>
      <c r="F876" s="135">
        <v>0.126</v>
      </c>
      <c r="G876" s="118"/>
    </row>
    <row r="877">
      <c r="A877" s="132">
        <v>876.0</v>
      </c>
      <c r="B877" s="132" t="s">
        <v>747</v>
      </c>
      <c r="C877" s="133" t="s">
        <v>852</v>
      </c>
      <c r="D877" s="133" t="s">
        <v>865</v>
      </c>
      <c r="E877" s="116"/>
      <c r="F877" s="135">
        <v>0.126</v>
      </c>
      <c r="G877" s="118"/>
    </row>
    <row r="878">
      <c r="A878" s="132">
        <v>877.0</v>
      </c>
      <c r="B878" s="132" t="s">
        <v>747</v>
      </c>
      <c r="C878" s="133" t="s">
        <v>866</v>
      </c>
      <c r="D878" s="133" t="s">
        <v>867</v>
      </c>
      <c r="E878" s="116"/>
      <c r="F878" s="135">
        <v>0.126</v>
      </c>
      <c r="G878" s="118"/>
    </row>
    <row r="879">
      <c r="A879" s="132">
        <v>878.0</v>
      </c>
      <c r="B879" s="132" t="s">
        <v>747</v>
      </c>
      <c r="C879" s="133" t="s">
        <v>866</v>
      </c>
      <c r="D879" s="133" t="s">
        <v>868</v>
      </c>
      <c r="E879" s="116"/>
      <c r="F879" s="135">
        <v>0.126</v>
      </c>
      <c r="G879" s="118"/>
    </row>
    <row r="880">
      <c r="A880" s="132">
        <v>879.0</v>
      </c>
      <c r="B880" s="132" t="s">
        <v>747</v>
      </c>
      <c r="C880" s="133" t="s">
        <v>866</v>
      </c>
      <c r="D880" s="133" t="s">
        <v>869</v>
      </c>
      <c r="E880" s="116"/>
      <c r="F880" s="135">
        <v>0.126</v>
      </c>
      <c r="G880" s="118"/>
    </row>
    <row r="881">
      <c r="A881" s="132">
        <v>880.0</v>
      </c>
      <c r="B881" s="132" t="s">
        <v>747</v>
      </c>
      <c r="C881" s="133" t="s">
        <v>866</v>
      </c>
      <c r="D881" s="133" t="s">
        <v>870</v>
      </c>
      <c r="E881" s="116"/>
      <c r="F881" s="135">
        <v>0.126</v>
      </c>
      <c r="G881" s="118"/>
    </row>
    <row r="882">
      <c r="A882" s="132">
        <v>881.0</v>
      </c>
      <c r="B882" s="132" t="s">
        <v>747</v>
      </c>
      <c r="C882" s="133" t="s">
        <v>866</v>
      </c>
      <c r="D882" s="133" t="s">
        <v>62</v>
      </c>
      <c r="E882" s="116"/>
      <c r="F882" s="135">
        <v>0.126</v>
      </c>
      <c r="G882" s="118"/>
    </row>
    <row r="883">
      <c r="A883" s="132">
        <v>882.0</v>
      </c>
      <c r="B883" s="132" t="s">
        <v>747</v>
      </c>
      <c r="C883" s="133" t="s">
        <v>871</v>
      </c>
      <c r="D883" s="133" t="s">
        <v>872</v>
      </c>
      <c r="E883" s="116"/>
      <c r="F883" s="135">
        <v>0.126</v>
      </c>
      <c r="G883" s="118"/>
    </row>
    <row r="884">
      <c r="A884" s="132">
        <v>883.0</v>
      </c>
      <c r="B884" s="132" t="s">
        <v>747</v>
      </c>
      <c r="C884" s="133" t="s">
        <v>871</v>
      </c>
      <c r="D884" s="133" t="s">
        <v>873</v>
      </c>
      <c r="E884" s="116"/>
      <c r="F884" s="135">
        <v>0.126</v>
      </c>
      <c r="G884" s="118"/>
    </row>
    <row r="885">
      <c r="A885" s="132">
        <v>884.0</v>
      </c>
      <c r="B885" s="132" t="s">
        <v>747</v>
      </c>
      <c r="C885" s="133" t="s">
        <v>871</v>
      </c>
      <c r="D885" s="133" t="s">
        <v>874</v>
      </c>
      <c r="E885" s="116"/>
      <c r="F885" s="135">
        <v>0.126</v>
      </c>
      <c r="G885" s="118"/>
    </row>
    <row r="886">
      <c r="A886" s="132">
        <v>885.0</v>
      </c>
      <c r="B886" s="132" t="s">
        <v>747</v>
      </c>
      <c r="C886" s="133" t="s">
        <v>871</v>
      </c>
      <c r="D886" s="133" t="s">
        <v>875</v>
      </c>
      <c r="E886" s="116"/>
      <c r="F886" s="135">
        <v>0.126</v>
      </c>
      <c r="G886" s="118"/>
    </row>
    <row r="887">
      <c r="A887" s="132">
        <v>886.0</v>
      </c>
      <c r="B887" s="132" t="s">
        <v>747</v>
      </c>
      <c r="C887" s="133" t="s">
        <v>871</v>
      </c>
      <c r="D887" s="133" t="s">
        <v>62</v>
      </c>
      <c r="E887" s="116"/>
      <c r="F887" s="135">
        <v>0.126</v>
      </c>
      <c r="G887" s="118"/>
    </row>
    <row r="888">
      <c r="A888" s="132">
        <v>887.0</v>
      </c>
      <c r="B888" s="132" t="s">
        <v>747</v>
      </c>
      <c r="C888" s="133" t="s">
        <v>876</v>
      </c>
      <c r="D888" s="133" t="s">
        <v>877</v>
      </c>
      <c r="E888" s="116"/>
      <c r="F888" s="135">
        <v>0.126</v>
      </c>
      <c r="G888" s="118"/>
    </row>
    <row r="889">
      <c r="A889" s="132">
        <v>888.0</v>
      </c>
      <c r="B889" s="132" t="s">
        <v>747</v>
      </c>
      <c r="C889" s="133" t="s">
        <v>876</v>
      </c>
      <c r="D889" s="133" t="s">
        <v>878</v>
      </c>
      <c r="E889" s="116"/>
      <c r="F889" s="135">
        <v>0.126</v>
      </c>
      <c r="G889" s="118"/>
    </row>
    <row r="890">
      <c r="A890" s="132">
        <v>889.0</v>
      </c>
      <c r="B890" s="132" t="s">
        <v>747</v>
      </c>
      <c r="C890" s="133" t="s">
        <v>876</v>
      </c>
      <c r="D890" s="133" t="s">
        <v>879</v>
      </c>
      <c r="E890" s="116"/>
      <c r="F890" s="135">
        <v>0.126</v>
      </c>
      <c r="G890" s="118"/>
    </row>
    <row r="891">
      <c r="A891" s="132">
        <v>890.0</v>
      </c>
      <c r="B891" s="132" t="s">
        <v>747</v>
      </c>
      <c r="C891" s="133" t="s">
        <v>876</v>
      </c>
      <c r="D891" s="133" t="s">
        <v>880</v>
      </c>
      <c r="E891" s="116"/>
      <c r="F891" s="135">
        <v>0.126</v>
      </c>
      <c r="G891" s="118"/>
    </row>
    <row r="892">
      <c r="A892" s="132">
        <v>891.0</v>
      </c>
      <c r="B892" s="132" t="s">
        <v>747</v>
      </c>
      <c r="C892" s="133" t="s">
        <v>876</v>
      </c>
      <c r="D892" s="133" t="s">
        <v>62</v>
      </c>
      <c r="E892" s="116"/>
      <c r="F892" s="135">
        <v>0.126</v>
      </c>
      <c r="G892" s="118"/>
    </row>
    <row r="893">
      <c r="A893" s="132">
        <v>892.0</v>
      </c>
      <c r="B893" s="132" t="s">
        <v>747</v>
      </c>
      <c r="C893" s="133" t="s">
        <v>876</v>
      </c>
      <c r="D893" s="133" t="s">
        <v>881</v>
      </c>
      <c r="E893" s="116"/>
      <c r="F893" s="135">
        <v>0.126</v>
      </c>
      <c r="G893" s="118"/>
    </row>
    <row r="894">
      <c r="A894" s="132">
        <v>893.0</v>
      </c>
      <c r="B894" s="132" t="s">
        <v>747</v>
      </c>
      <c r="C894" s="133" t="s">
        <v>876</v>
      </c>
      <c r="D894" s="133" t="s">
        <v>882</v>
      </c>
      <c r="E894" s="116"/>
      <c r="F894" s="135">
        <v>0.126</v>
      </c>
      <c r="G894" s="118"/>
    </row>
    <row r="895">
      <c r="A895" s="132">
        <v>894.0</v>
      </c>
      <c r="B895" s="132" t="s">
        <v>747</v>
      </c>
      <c r="C895" s="133" t="s">
        <v>876</v>
      </c>
      <c r="D895" s="133" t="s">
        <v>883</v>
      </c>
      <c r="E895" s="116"/>
      <c r="F895" s="135">
        <v>0.126</v>
      </c>
      <c r="G895" s="118"/>
    </row>
    <row r="896">
      <c r="A896" s="132">
        <v>895.0</v>
      </c>
      <c r="B896" s="132" t="s">
        <v>747</v>
      </c>
      <c r="C896" s="133" t="s">
        <v>876</v>
      </c>
      <c r="D896" s="133" t="s">
        <v>884</v>
      </c>
      <c r="E896" s="116"/>
      <c r="F896" s="135">
        <v>0.126</v>
      </c>
      <c r="G896" s="118"/>
    </row>
    <row r="897">
      <c r="A897" s="132">
        <v>896.0</v>
      </c>
      <c r="B897" s="132" t="s">
        <v>747</v>
      </c>
      <c r="C897" s="133" t="s">
        <v>885</v>
      </c>
      <c r="D897" s="133" t="s">
        <v>886</v>
      </c>
      <c r="E897" s="116"/>
      <c r="F897" s="135">
        <v>0.137</v>
      </c>
      <c r="G897" s="118"/>
    </row>
    <row r="898">
      <c r="A898" s="132">
        <v>897.0</v>
      </c>
      <c r="B898" s="132" t="s">
        <v>747</v>
      </c>
      <c r="C898" s="133" t="s">
        <v>885</v>
      </c>
      <c r="D898" s="133" t="s">
        <v>887</v>
      </c>
      <c r="E898" s="116"/>
      <c r="F898" s="135">
        <v>0.137</v>
      </c>
      <c r="G898" s="118"/>
    </row>
    <row r="899">
      <c r="A899" s="132">
        <v>898.0</v>
      </c>
      <c r="B899" s="132" t="s">
        <v>747</v>
      </c>
      <c r="C899" s="133" t="s">
        <v>885</v>
      </c>
      <c r="D899" s="133" t="s">
        <v>888</v>
      </c>
      <c r="E899" s="116"/>
      <c r="F899" s="135">
        <v>0.137</v>
      </c>
      <c r="G899" s="118"/>
    </row>
    <row r="900">
      <c r="A900" s="132">
        <v>899.0</v>
      </c>
      <c r="B900" s="132" t="s">
        <v>747</v>
      </c>
      <c r="C900" s="133" t="s">
        <v>885</v>
      </c>
      <c r="D900" s="133" t="s">
        <v>889</v>
      </c>
      <c r="E900" s="116"/>
      <c r="F900" s="135">
        <v>0.137</v>
      </c>
      <c r="G900" s="118"/>
    </row>
    <row r="901">
      <c r="A901" s="132">
        <v>900.0</v>
      </c>
      <c r="B901" s="132" t="s">
        <v>747</v>
      </c>
      <c r="C901" s="133" t="s">
        <v>885</v>
      </c>
      <c r="D901" s="133" t="s">
        <v>890</v>
      </c>
      <c r="E901" s="116"/>
      <c r="F901" s="135">
        <v>0.137</v>
      </c>
      <c r="G901" s="118"/>
    </row>
    <row r="902">
      <c r="A902" s="132">
        <v>901.0</v>
      </c>
      <c r="B902" s="132" t="s">
        <v>747</v>
      </c>
      <c r="C902" s="133" t="s">
        <v>885</v>
      </c>
      <c r="D902" s="133" t="s">
        <v>891</v>
      </c>
      <c r="E902" s="116"/>
      <c r="F902" s="135">
        <v>0.137</v>
      </c>
      <c r="G902" s="118"/>
    </row>
    <row r="903">
      <c r="A903" s="132">
        <v>902.0</v>
      </c>
      <c r="B903" s="132" t="s">
        <v>747</v>
      </c>
      <c r="C903" s="133" t="s">
        <v>885</v>
      </c>
      <c r="D903" s="133" t="s">
        <v>892</v>
      </c>
      <c r="E903" s="116"/>
      <c r="F903" s="135">
        <v>0.137</v>
      </c>
      <c r="G903" s="118"/>
    </row>
    <row r="904">
      <c r="A904" s="132">
        <v>903.0</v>
      </c>
      <c r="B904" s="132" t="s">
        <v>747</v>
      </c>
      <c r="C904" s="133" t="s">
        <v>885</v>
      </c>
      <c r="D904" s="133" t="s">
        <v>62</v>
      </c>
      <c r="E904" s="116"/>
      <c r="F904" s="135">
        <v>0.137</v>
      </c>
      <c r="G904" s="118"/>
    </row>
    <row r="905">
      <c r="A905" s="132">
        <v>904.0</v>
      </c>
      <c r="B905" s="132" t="s">
        <v>747</v>
      </c>
      <c r="C905" s="133" t="s">
        <v>885</v>
      </c>
      <c r="D905" s="133" t="s">
        <v>893</v>
      </c>
      <c r="E905" s="116"/>
      <c r="F905" s="135">
        <v>0.137</v>
      </c>
      <c r="G905" s="118"/>
    </row>
    <row r="906">
      <c r="A906" s="132">
        <v>905.0</v>
      </c>
      <c r="B906" s="132" t="s">
        <v>747</v>
      </c>
      <c r="C906" s="133" t="s">
        <v>894</v>
      </c>
      <c r="D906" s="133" t="s">
        <v>895</v>
      </c>
      <c r="E906" s="116"/>
      <c r="F906" s="135">
        <v>0.126</v>
      </c>
      <c r="G906" s="118"/>
    </row>
    <row r="907">
      <c r="A907" s="132">
        <v>906.0</v>
      </c>
      <c r="B907" s="132" t="s">
        <v>747</v>
      </c>
      <c r="C907" s="133" t="s">
        <v>894</v>
      </c>
      <c r="D907" s="133" t="s">
        <v>896</v>
      </c>
      <c r="E907" s="116"/>
      <c r="F907" s="135">
        <v>0.126</v>
      </c>
      <c r="G907" s="118"/>
    </row>
    <row r="908">
      <c r="A908" s="132">
        <v>907.0</v>
      </c>
      <c r="B908" s="132" t="s">
        <v>747</v>
      </c>
      <c r="C908" s="133" t="s">
        <v>894</v>
      </c>
      <c r="D908" s="133" t="s">
        <v>897</v>
      </c>
      <c r="E908" s="116"/>
      <c r="F908" s="135">
        <v>0.126</v>
      </c>
      <c r="G908" s="118"/>
    </row>
    <row r="909">
      <c r="A909" s="132">
        <v>908.0</v>
      </c>
      <c r="B909" s="132" t="s">
        <v>747</v>
      </c>
      <c r="C909" s="133" t="s">
        <v>894</v>
      </c>
      <c r="D909" s="133" t="s">
        <v>62</v>
      </c>
      <c r="E909" s="116"/>
      <c r="F909" s="135">
        <v>0.126</v>
      </c>
      <c r="G909" s="118"/>
    </row>
    <row r="910">
      <c r="A910" s="132">
        <v>909.0</v>
      </c>
      <c r="B910" s="132" t="s">
        <v>747</v>
      </c>
      <c r="C910" s="133" t="s">
        <v>894</v>
      </c>
      <c r="D910" s="133" t="s">
        <v>898</v>
      </c>
      <c r="E910" s="116"/>
      <c r="F910" s="135">
        <v>0.126</v>
      </c>
      <c r="G910" s="118"/>
    </row>
    <row r="911">
      <c r="A911" s="132">
        <v>910.0</v>
      </c>
      <c r="B911" s="132" t="s">
        <v>747</v>
      </c>
      <c r="C911" s="133" t="s">
        <v>894</v>
      </c>
      <c r="D911" s="133" t="s">
        <v>899</v>
      </c>
      <c r="E911" s="116"/>
      <c r="F911" s="135">
        <v>0.126</v>
      </c>
      <c r="G911" s="118"/>
    </row>
    <row r="912">
      <c r="A912" s="132">
        <v>911.0</v>
      </c>
      <c r="B912" s="132" t="s">
        <v>747</v>
      </c>
      <c r="C912" s="133" t="s">
        <v>894</v>
      </c>
      <c r="D912" s="133" t="s">
        <v>900</v>
      </c>
      <c r="E912" s="116"/>
      <c r="F912" s="135">
        <v>0.126</v>
      </c>
      <c r="G912" s="118"/>
    </row>
    <row r="913">
      <c r="A913" s="132">
        <v>912.0</v>
      </c>
      <c r="B913" s="132" t="s">
        <v>747</v>
      </c>
      <c r="C913" s="133" t="s">
        <v>901</v>
      </c>
      <c r="D913" s="133" t="s">
        <v>902</v>
      </c>
      <c r="E913" s="116"/>
      <c r="F913" s="135">
        <v>0.126</v>
      </c>
      <c r="G913" s="118"/>
    </row>
    <row r="914">
      <c r="A914" s="132">
        <v>913.0</v>
      </c>
      <c r="B914" s="132" t="s">
        <v>747</v>
      </c>
      <c r="C914" s="133" t="s">
        <v>901</v>
      </c>
      <c r="D914" s="133" t="s">
        <v>903</v>
      </c>
      <c r="E914" s="116"/>
      <c r="F914" s="135">
        <v>0.126</v>
      </c>
      <c r="G914" s="118"/>
    </row>
    <row r="915">
      <c r="A915" s="132">
        <v>914.0</v>
      </c>
      <c r="B915" s="132" t="s">
        <v>747</v>
      </c>
      <c r="C915" s="133" t="s">
        <v>901</v>
      </c>
      <c r="D915" s="133" t="s">
        <v>904</v>
      </c>
      <c r="E915" s="116"/>
      <c r="F915" s="135">
        <v>0.126</v>
      </c>
      <c r="G915" s="118"/>
    </row>
    <row r="916">
      <c r="A916" s="132">
        <v>915.0</v>
      </c>
      <c r="B916" s="132" t="s">
        <v>747</v>
      </c>
      <c r="C916" s="133" t="s">
        <v>901</v>
      </c>
      <c r="D916" s="133" t="s">
        <v>905</v>
      </c>
      <c r="E916" s="116"/>
      <c r="F916" s="135">
        <v>0.126</v>
      </c>
      <c r="G916" s="118"/>
    </row>
    <row r="917">
      <c r="A917" s="132">
        <v>916.0</v>
      </c>
      <c r="B917" s="132" t="s">
        <v>747</v>
      </c>
      <c r="C917" s="133" t="s">
        <v>901</v>
      </c>
      <c r="D917" s="133" t="s">
        <v>62</v>
      </c>
      <c r="E917" s="116"/>
      <c r="F917" s="135">
        <v>0.126</v>
      </c>
      <c r="G917" s="118"/>
    </row>
    <row r="918">
      <c r="A918" s="132">
        <v>917.0</v>
      </c>
      <c r="B918" s="132" t="s">
        <v>747</v>
      </c>
      <c r="C918" s="133" t="s">
        <v>901</v>
      </c>
      <c r="D918" s="133" t="s">
        <v>906</v>
      </c>
      <c r="E918" s="116"/>
      <c r="F918" s="135">
        <v>0.126</v>
      </c>
      <c r="G918" s="118"/>
    </row>
    <row r="919">
      <c r="A919" s="132">
        <v>918.0</v>
      </c>
      <c r="B919" s="132" t="s">
        <v>747</v>
      </c>
      <c r="C919" s="133" t="s">
        <v>901</v>
      </c>
      <c r="D919" s="133" t="s">
        <v>907</v>
      </c>
      <c r="E919" s="116"/>
      <c r="F919" s="135">
        <v>0.126</v>
      </c>
      <c r="G919" s="118"/>
    </row>
    <row r="920">
      <c r="A920" s="132">
        <v>919.0</v>
      </c>
      <c r="B920" s="132" t="s">
        <v>747</v>
      </c>
      <c r="C920" s="133" t="s">
        <v>901</v>
      </c>
      <c r="D920" s="133" t="s">
        <v>908</v>
      </c>
      <c r="E920" s="116"/>
      <c r="F920" s="135">
        <v>0.126</v>
      </c>
      <c r="G920" s="118"/>
    </row>
    <row r="921">
      <c r="A921" s="132">
        <v>920.0</v>
      </c>
      <c r="B921" s="132" t="s">
        <v>747</v>
      </c>
      <c r="C921" s="133" t="s">
        <v>901</v>
      </c>
      <c r="D921" s="133" t="s">
        <v>909</v>
      </c>
      <c r="E921" s="116"/>
      <c r="F921" s="135">
        <v>0.126</v>
      </c>
      <c r="G921" s="118"/>
    </row>
    <row r="922">
      <c r="A922" s="132">
        <v>921.0</v>
      </c>
      <c r="B922" s="132" t="s">
        <v>747</v>
      </c>
      <c r="C922" s="133" t="s">
        <v>910</v>
      </c>
      <c r="D922" s="133" t="s">
        <v>911</v>
      </c>
      <c r="E922" s="116"/>
      <c r="F922" s="135">
        <v>0.126</v>
      </c>
      <c r="G922" s="118"/>
    </row>
    <row r="923">
      <c r="A923" s="132">
        <v>922.0</v>
      </c>
      <c r="B923" s="132" t="s">
        <v>747</v>
      </c>
      <c r="C923" s="133" t="s">
        <v>910</v>
      </c>
      <c r="D923" s="133" t="s">
        <v>912</v>
      </c>
      <c r="E923" s="116"/>
      <c r="F923" s="135">
        <v>0.126</v>
      </c>
      <c r="G923" s="118"/>
    </row>
    <row r="924">
      <c r="A924" s="132">
        <v>923.0</v>
      </c>
      <c r="B924" s="132" t="s">
        <v>747</v>
      </c>
      <c r="C924" s="133" t="s">
        <v>910</v>
      </c>
      <c r="D924" s="133" t="s">
        <v>913</v>
      </c>
      <c r="E924" s="116"/>
      <c r="F924" s="135">
        <v>0.126</v>
      </c>
      <c r="G924" s="118"/>
    </row>
    <row r="925">
      <c r="A925" s="132">
        <v>924.0</v>
      </c>
      <c r="B925" s="132" t="s">
        <v>747</v>
      </c>
      <c r="C925" s="133" t="s">
        <v>910</v>
      </c>
      <c r="D925" s="133" t="s">
        <v>914</v>
      </c>
      <c r="E925" s="116"/>
      <c r="F925" s="135">
        <v>0.126</v>
      </c>
      <c r="G925" s="118"/>
    </row>
    <row r="926">
      <c r="A926" s="132">
        <v>925.0</v>
      </c>
      <c r="B926" s="132" t="s">
        <v>747</v>
      </c>
      <c r="C926" s="133" t="s">
        <v>910</v>
      </c>
      <c r="D926" s="133" t="s">
        <v>915</v>
      </c>
      <c r="E926" s="116"/>
      <c r="F926" s="135">
        <v>0.126</v>
      </c>
      <c r="G926" s="118"/>
    </row>
    <row r="927">
      <c r="A927" s="132">
        <v>926.0</v>
      </c>
      <c r="B927" s="132" t="s">
        <v>747</v>
      </c>
      <c r="C927" s="133" t="s">
        <v>910</v>
      </c>
      <c r="D927" s="133" t="s">
        <v>62</v>
      </c>
      <c r="E927" s="116"/>
      <c r="F927" s="135">
        <v>0.126</v>
      </c>
      <c r="G927" s="118"/>
    </row>
    <row r="928">
      <c r="A928" s="132">
        <v>927.0</v>
      </c>
      <c r="B928" s="132" t="s">
        <v>747</v>
      </c>
      <c r="C928" s="133" t="s">
        <v>910</v>
      </c>
      <c r="D928" s="133" t="s">
        <v>916</v>
      </c>
      <c r="E928" s="116"/>
      <c r="F928" s="135">
        <v>0.126</v>
      </c>
      <c r="G928" s="118"/>
    </row>
    <row r="929">
      <c r="A929" s="132">
        <v>928.0</v>
      </c>
      <c r="B929" s="132" t="s">
        <v>747</v>
      </c>
      <c r="C929" s="133" t="s">
        <v>910</v>
      </c>
      <c r="D929" s="133" t="s">
        <v>917</v>
      </c>
      <c r="E929" s="116"/>
      <c r="F929" s="135">
        <v>0.126</v>
      </c>
      <c r="G929" s="118"/>
    </row>
    <row r="930">
      <c r="A930" s="132">
        <v>929.0</v>
      </c>
      <c r="B930" s="132" t="s">
        <v>747</v>
      </c>
      <c r="C930" s="133" t="s">
        <v>910</v>
      </c>
      <c r="D930" s="133" t="s">
        <v>918</v>
      </c>
      <c r="E930" s="116"/>
      <c r="F930" s="135">
        <v>0.126</v>
      </c>
      <c r="G930" s="118"/>
    </row>
    <row r="931">
      <c r="A931" s="132">
        <v>930.0</v>
      </c>
      <c r="B931" s="132" t="s">
        <v>747</v>
      </c>
      <c r="C931" s="133" t="s">
        <v>910</v>
      </c>
      <c r="D931" s="133" t="s">
        <v>919</v>
      </c>
      <c r="E931" s="116"/>
      <c r="F931" s="135">
        <v>0.126</v>
      </c>
      <c r="G931" s="118"/>
    </row>
    <row r="932">
      <c r="A932" s="132">
        <v>931.0</v>
      </c>
      <c r="B932" s="132" t="s">
        <v>747</v>
      </c>
      <c r="C932" s="133" t="s">
        <v>910</v>
      </c>
      <c r="D932" s="133" t="s">
        <v>920</v>
      </c>
      <c r="E932" s="116"/>
      <c r="F932" s="135">
        <v>0.126</v>
      </c>
      <c r="G932" s="118"/>
    </row>
    <row r="933">
      <c r="A933" s="132">
        <v>932.0</v>
      </c>
      <c r="B933" s="132" t="s">
        <v>650</v>
      </c>
      <c r="C933" s="133" t="s">
        <v>774</v>
      </c>
      <c r="D933" s="133" t="s">
        <v>921</v>
      </c>
      <c r="E933" s="116"/>
      <c r="F933" s="135">
        <v>0.137</v>
      </c>
      <c r="G933" s="118"/>
    </row>
    <row r="934">
      <c r="A934" s="132">
        <v>933.0</v>
      </c>
      <c r="B934" s="132" t="s">
        <v>650</v>
      </c>
      <c r="C934" s="133" t="s">
        <v>774</v>
      </c>
      <c r="D934" s="133" t="s">
        <v>922</v>
      </c>
      <c r="E934" s="116"/>
      <c r="F934" s="135">
        <v>0.137</v>
      </c>
      <c r="G934" s="118"/>
    </row>
    <row r="935">
      <c r="A935" s="132">
        <v>934.0</v>
      </c>
      <c r="B935" s="132" t="s">
        <v>650</v>
      </c>
      <c r="C935" s="133" t="s">
        <v>774</v>
      </c>
      <c r="D935" s="133" t="s">
        <v>923</v>
      </c>
      <c r="E935" s="116"/>
      <c r="F935" s="135">
        <v>0.137</v>
      </c>
      <c r="G935" s="118"/>
    </row>
    <row r="936">
      <c r="A936" s="132">
        <v>935.0</v>
      </c>
      <c r="B936" s="132" t="s">
        <v>650</v>
      </c>
      <c r="C936" s="133" t="s">
        <v>790</v>
      </c>
      <c r="D936" s="133" t="s">
        <v>62</v>
      </c>
      <c r="E936" s="116"/>
      <c r="F936" s="135">
        <v>0.142</v>
      </c>
      <c r="G936" s="118"/>
    </row>
    <row r="937">
      <c r="A937" s="132">
        <v>936.0</v>
      </c>
      <c r="B937" s="132" t="s">
        <v>650</v>
      </c>
      <c r="C937" s="133" t="s">
        <v>790</v>
      </c>
      <c r="D937" s="133" t="s">
        <v>924</v>
      </c>
      <c r="E937" s="116"/>
      <c r="F937" s="135">
        <v>0.142</v>
      </c>
      <c r="G937" s="118"/>
    </row>
    <row r="938">
      <c r="A938" s="132">
        <v>937.0</v>
      </c>
      <c r="B938" s="132" t="s">
        <v>650</v>
      </c>
      <c r="C938" s="133" t="s">
        <v>799</v>
      </c>
      <c r="D938" s="133" t="s">
        <v>62</v>
      </c>
      <c r="E938" s="116"/>
      <c r="F938" s="135">
        <v>0.126</v>
      </c>
      <c r="G938" s="118"/>
    </row>
    <row r="939">
      <c r="A939" s="132">
        <v>938.0</v>
      </c>
      <c r="B939" s="132" t="s">
        <v>650</v>
      </c>
      <c r="C939" s="133" t="s">
        <v>925</v>
      </c>
      <c r="D939" s="133" t="s">
        <v>926</v>
      </c>
      <c r="E939" s="116"/>
      <c r="F939" s="135">
        <v>0.126</v>
      </c>
      <c r="G939" s="118"/>
    </row>
    <row r="940">
      <c r="A940" s="132">
        <v>939.0</v>
      </c>
      <c r="B940" s="132" t="s">
        <v>650</v>
      </c>
      <c r="C940" s="133" t="s">
        <v>925</v>
      </c>
      <c r="D940" s="133" t="s">
        <v>927</v>
      </c>
      <c r="E940" s="116"/>
      <c r="F940" s="135">
        <v>0.126</v>
      </c>
      <c r="G940" s="118"/>
    </row>
    <row r="941">
      <c r="A941" s="132">
        <v>940.0</v>
      </c>
      <c r="B941" s="132" t="s">
        <v>650</v>
      </c>
      <c r="C941" s="133" t="s">
        <v>925</v>
      </c>
      <c r="D941" s="133" t="s">
        <v>62</v>
      </c>
      <c r="E941" s="116"/>
      <c r="F941" s="135">
        <v>0.126</v>
      </c>
      <c r="G941" s="118"/>
    </row>
    <row r="942">
      <c r="A942" s="132">
        <v>941.0</v>
      </c>
      <c r="B942" s="132" t="s">
        <v>650</v>
      </c>
      <c r="C942" s="133" t="s">
        <v>925</v>
      </c>
      <c r="D942" s="133" t="s">
        <v>928</v>
      </c>
      <c r="E942" s="116"/>
      <c r="F942" s="135">
        <v>0.126</v>
      </c>
      <c r="G942" s="118"/>
    </row>
    <row r="943">
      <c r="A943" s="132">
        <v>942.0</v>
      </c>
      <c r="B943" s="132" t="s">
        <v>650</v>
      </c>
      <c r="C943" s="133" t="s">
        <v>799</v>
      </c>
      <c r="D943" s="133" t="s">
        <v>929</v>
      </c>
      <c r="E943" s="116"/>
      <c r="F943" s="135">
        <v>0.126</v>
      </c>
      <c r="G943" s="118"/>
    </row>
    <row r="944">
      <c r="A944" s="132">
        <v>943.0</v>
      </c>
      <c r="B944" s="132" t="s">
        <v>650</v>
      </c>
      <c r="C944" s="133" t="s">
        <v>799</v>
      </c>
      <c r="D944" s="133" t="s">
        <v>930</v>
      </c>
      <c r="E944" s="116"/>
      <c r="F944" s="135">
        <v>0.126</v>
      </c>
      <c r="G944" s="118"/>
    </row>
    <row r="945">
      <c r="A945" s="132">
        <v>944.0</v>
      </c>
      <c r="B945" s="132" t="s">
        <v>650</v>
      </c>
      <c r="C945" s="133" t="s">
        <v>799</v>
      </c>
      <c r="D945" s="133" t="s">
        <v>931</v>
      </c>
      <c r="E945" s="116"/>
      <c r="F945" s="135">
        <v>0.126</v>
      </c>
      <c r="G945" s="118"/>
    </row>
    <row r="946">
      <c r="A946" s="132">
        <v>945.0</v>
      </c>
      <c r="B946" s="132" t="s">
        <v>650</v>
      </c>
      <c r="C946" s="133" t="s">
        <v>925</v>
      </c>
      <c r="D946" s="133" t="s">
        <v>932</v>
      </c>
      <c r="E946" s="116"/>
      <c r="F946" s="135">
        <v>0.105</v>
      </c>
      <c r="G946" s="118"/>
    </row>
    <row r="947">
      <c r="A947" s="132">
        <v>946.0</v>
      </c>
      <c r="B947" s="132" t="s">
        <v>933</v>
      </c>
      <c r="C947" s="133" t="s">
        <v>934</v>
      </c>
      <c r="D947" s="133" t="s">
        <v>935</v>
      </c>
      <c r="E947" s="116"/>
      <c r="F947" s="135">
        <v>0.137</v>
      </c>
      <c r="G947" s="118"/>
    </row>
    <row r="948">
      <c r="A948" s="132">
        <v>947.0</v>
      </c>
      <c r="B948" s="132" t="s">
        <v>933</v>
      </c>
      <c r="C948" s="133" t="s">
        <v>934</v>
      </c>
      <c r="D948" s="133" t="s">
        <v>936</v>
      </c>
      <c r="E948" s="116"/>
      <c r="F948" s="135">
        <v>0.137</v>
      </c>
      <c r="G948" s="118"/>
    </row>
    <row r="949">
      <c r="A949" s="132">
        <v>948.0</v>
      </c>
      <c r="B949" s="132" t="s">
        <v>933</v>
      </c>
      <c r="C949" s="133" t="s">
        <v>934</v>
      </c>
      <c r="D949" s="133" t="s">
        <v>937</v>
      </c>
      <c r="E949" s="116"/>
      <c r="F949" s="135">
        <v>0.137</v>
      </c>
      <c r="G949" s="118"/>
    </row>
    <row r="950">
      <c r="A950" s="132">
        <v>949.0</v>
      </c>
      <c r="B950" s="132" t="s">
        <v>933</v>
      </c>
      <c r="C950" s="133" t="s">
        <v>934</v>
      </c>
      <c r="D950" s="133" t="s">
        <v>938</v>
      </c>
      <c r="E950" s="116"/>
      <c r="F950" s="135">
        <v>0.137</v>
      </c>
      <c r="G950" s="118"/>
    </row>
    <row r="951">
      <c r="A951" s="132">
        <v>950.0</v>
      </c>
      <c r="B951" s="132" t="s">
        <v>933</v>
      </c>
      <c r="C951" s="133" t="s">
        <v>934</v>
      </c>
      <c r="D951" s="133" t="s">
        <v>939</v>
      </c>
      <c r="E951" s="116"/>
      <c r="F951" s="135">
        <v>0.137</v>
      </c>
      <c r="G951" s="118"/>
    </row>
    <row r="952">
      <c r="A952" s="132">
        <v>951.0</v>
      </c>
      <c r="B952" s="132" t="s">
        <v>933</v>
      </c>
      <c r="C952" s="133" t="s">
        <v>934</v>
      </c>
      <c r="D952" s="133" t="s">
        <v>940</v>
      </c>
      <c r="E952" s="116"/>
      <c r="F952" s="135">
        <v>0.137</v>
      </c>
      <c r="G952" s="118"/>
    </row>
    <row r="953">
      <c r="A953" s="132">
        <v>952.0</v>
      </c>
      <c r="B953" s="132" t="s">
        <v>933</v>
      </c>
      <c r="C953" s="133" t="s">
        <v>934</v>
      </c>
      <c r="D953" s="133" t="s">
        <v>941</v>
      </c>
      <c r="E953" s="116"/>
      <c r="F953" s="135">
        <v>0.137</v>
      </c>
      <c r="G953" s="118"/>
    </row>
    <row r="954">
      <c r="A954" s="132">
        <v>953.0</v>
      </c>
      <c r="B954" s="132" t="s">
        <v>933</v>
      </c>
      <c r="C954" s="133" t="s">
        <v>934</v>
      </c>
      <c r="D954" s="133" t="s">
        <v>942</v>
      </c>
      <c r="E954" s="116"/>
      <c r="F954" s="135">
        <v>0.137</v>
      </c>
      <c r="G954" s="118"/>
    </row>
    <row r="955">
      <c r="A955" s="132">
        <v>954.0</v>
      </c>
      <c r="B955" s="132" t="s">
        <v>933</v>
      </c>
      <c r="C955" s="133" t="s">
        <v>934</v>
      </c>
      <c r="D955" s="133" t="s">
        <v>62</v>
      </c>
      <c r="E955" s="116"/>
      <c r="F955" s="135">
        <v>0.137</v>
      </c>
      <c r="G955" s="118"/>
    </row>
    <row r="956">
      <c r="A956" s="132">
        <v>955.0</v>
      </c>
      <c r="B956" s="132" t="s">
        <v>933</v>
      </c>
      <c r="C956" s="133" t="s">
        <v>934</v>
      </c>
      <c r="D956" s="133" t="s">
        <v>943</v>
      </c>
      <c r="E956" s="116"/>
      <c r="F956" s="135">
        <v>0.137</v>
      </c>
      <c r="G956" s="118"/>
    </row>
    <row r="957">
      <c r="A957" s="132">
        <v>956.0</v>
      </c>
      <c r="B957" s="132" t="s">
        <v>933</v>
      </c>
      <c r="C957" s="133" t="s">
        <v>934</v>
      </c>
      <c r="D957" s="133" t="s">
        <v>944</v>
      </c>
      <c r="E957" s="116"/>
      <c r="F957" s="135">
        <v>0.137</v>
      </c>
      <c r="G957" s="118"/>
    </row>
    <row r="958">
      <c r="A958" s="132">
        <v>957.0</v>
      </c>
      <c r="B958" s="132" t="s">
        <v>933</v>
      </c>
      <c r="C958" s="133" t="s">
        <v>945</v>
      </c>
      <c r="D958" s="133" t="s">
        <v>946</v>
      </c>
      <c r="E958" s="116"/>
      <c r="F958" s="135">
        <v>0.142</v>
      </c>
      <c r="G958" s="118"/>
    </row>
    <row r="959">
      <c r="A959" s="132">
        <v>958.0</v>
      </c>
      <c r="B959" s="132" t="s">
        <v>933</v>
      </c>
      <c r="C959" s="133" t="s">
        <v>945</v>
      </c>
      <c r="D959" s="133" t="s">
        <v>947</v>
      </c>
      <c r="E959" s="116"/>
      <c r="F959" s="135">
        <v>0.115</v>
      </c>
      <c r="G959" s="118"/>
    </row>
    <row r="960">
      <c r="A960" s="132">
        <v>959.0</v>
      </c>
      <c r="B960" s="132" t="s">
        <v>933</v>
      </c>
      <c r="C960" s="133" t="s">
        <v>945</v>
      </c>
      <c r="D960" s="133" t="s">
        <v>948</v>
      </c>
      <c r="E960" s="116"/>
      <c r="F960" s="135">
        <v>0.142</v>
      </c>
      <c r="G960" s="118"/>
    </row>
    <row r="961">
      <c r="A961" s="132">
        <v>960.0</v>
      </c>
      <c r="B961" s="132" t="s">
        <v>933</v>
      </c>
      <c r="C961" s="133" t="s">
        <v>945</v>
      </c>
      <c r="D961" s="133" t="s">
        <v>949</v>
      </c>
      <c r="E961" s="116"/>
      <c r="F961" s="135">
        <v>0.115</v>
      </c>
      <c r="G961" s="118"/>
    </row>
    <row r="962">
      <c r="A962" s="132">
        <v>961.0</v>
      </c>
      <c r="B962" s="132" t="s">
        <v>933</v>
      </c>
      <c r="C962" s="133" t="s">
        <v>945</v>
      </c>
      <c r="D962" s="133" t="s">
        <v>950</v>
      </c>
      <c r="E962" s="116"/>
      <c r="F962" s="135">
        <v>0.115</v>
      </c>
      <c r="G962" s="118"/>
    </row>
    <row r="963">
      <c r="A963" s="132">
        <v>962.0</v>
      </c>
      <c r="B963" s="132" t="s">
        <v>933</v>
      </c>
      <c r="C963" s="133" t="s">
        <v>945</v>
      </c>
      <c r="D963" s="133" t="s">
        <v>951</v>
      </c>
      <c r="E963" s="116"/>
      <c r="F963" s="135">
        <v>0.142</v>
      </c>
      <c r="G963" s="118"/>
    </row>
    <row r="964">
      <c r="A964" s="132">
        <v>963.0</v>
      </c>
      <c r="B964" s="132" t="s">
        <v>933</v>
      </c>
      <c r="C964" s="133" t="s">
        <v>945</v>
      </c>
      <c r="D964" s="133" t="s">
        <v>952</v>
      </c>
      <c r="E964" s="116"/>
      <c r="F964" s="135">
        <v>0.115</v>
      </c>
      <c r="G964" s="118"/>
    </row>
    <row r="965">
      <c r="A965" s="132">
        <v>964.0</v>
      </c>
      <c r="B965" s="132" t="s">
        <v>933</v>
      </c>
      <c r="C965" s="133" t="s">
        <v>945</v>
      </c>
      <c r="D965" s="133" t="s">
        <v>953</v>
      </c>
      <c r="E965" s="116"/>
      <c r="F965" s="135">
        <v>0.142</v>
      </c>
      <c r="G965" s="118"/>
    </row>
    <row r="966">
      <c r="A966" s="132">
        <v>965.0</v>
      </c>
      <c r="B966" s="132" t="s">
        <v>933</v>
      </c>
      <c r="C966" s="133" t="s">
        <v>945</v>
      </c>
      <c r="D966" s="133" t="s">
        <v>62</v>
      </c>
      <c r="E966" s="116"/>
      <c r="F966" s="135">
        <v>0.142</v>
      </c>
      <c r="G966" s="118"/>
    </row>
    <row r="967">
      <c r="A967" s="132">
        <v>966.0</v>
      </c>
      <c r="B967" s="132" t="s">
        <v>933</v>
      </c>
      <c r="C967" s="133" t="s">
        <v>945</v>
      </c>
      <c r="D967" s="133" t="s">
        <v>954</v>
      </c>
      <c r="E967" s="116"/>
      <c r="F967" s="135">
        <v>0.115</v>
      </c>
      <c r="G967" s="118"/>
    </row>
    <row r="968">
      <c r="A968" s="132">
        <v>967.0</v>
      </c>
      <c r="B968" s="132" t="s">
        <v>933</v>
      </c>
      <c r="C968" s="133" t="s">
        <v>945</v>
      </c>
      <c r="D968" s="133" t="s">
        <v>955</v>
      </c>
      <c r="E968" s="116"/>
      <c r="F968" s="135">
        <v>0.142</v>
      </c>
      <c r="G968" s="118"/>
    </row>
    <row r="969">
      <c r="A969" s="132">
        <v>968.0</v>
      </c>
      <c r="B969" s="132" t="s">
        <v>933</v>
      </c>
      <c r="C969" s="133" t="s">
        <v>945</v>
      </c>
      <c r="D969" s="133" t="s">
        <v>956</v>
      </c>
      <c r="E969" s="116"/>
      <c r="F969" s="135">
        <v>0.142</v>
      </c>
      <c r="G969" s="118"/>
    </row>
    <row r="970">
      <c r="A970" s="132">
        <v>969.0</v>
      </c>
      <c r="B970" s="132" t="s">
        <v>933</v>
      </c>
      <c r="C970" s="133" t="s">
        <v>945</v>
      </c>
      <c r="D970" s="133" t="s">
        <v>957</v>
      </c>
      <c r="E970" s="116"/>
      <c r="F970" s="135">
        <v>0.142</v>
      </c>
      <c r="G970" s="118"/>
    </row>
    <row r="971">
      <c r="A971" s="132">
        <v>970.0</v>
      </c>
      <c r="B971" s="132" t="s">
        <v>933</v>
      </c>
      <c r="C971" s="133" t="s">
        <v>945</v>
      </c>
      <c r="D971" s="133" t="s">
        <v>958</v>
      </c>
      <c r="E971" s="116"/>
      <c r="F971" s="135">
        <v>0.142</v>
      </c>
      <c r="G971" s="118"/>
    </row>
    <row r="972">
      <c r="A972" s="132">
        <v>971.0</v>
      </c>
      <c r="B972" s="132" t="s">
        <v>933</v>
      </c>
      <c r="C972" s="133" t="s">
        <v>945</v>
      </c>
      <c r="D972" s="133" t="s">
        <v>959</v>
      </c>
      <c r="E972" s="116"/>
      <c r="F972" s="135">
        <v>0.142</v>
      </c>
      <c r="G972" s="118"/>
    </row>
    <row r="973">
      <c r="A973" s="132">
        <v>972.0</v>
      </c>
      <c r="B973" s="132" t="s">
        <v>933</v>
      </c>
      <c r="C973" s="133" t="s">
        <v>945</v>
      </c>
      <c r="D973" s="133" t="s">
        <v>960</v>
      </c>
      <c r="E973" s="116"/>
      <c r="F973" s="135">
        <v>0.142</v>
      </c>
      <c r="G973" s="118"/>
    </row>
    <row r="974">
      <c r="A974" s="132">
        <v>973.0</v>
      </c>
      <c r="B974" s="132" t="s">
        <v>933</v>
      </c>
      <c r="C974" s="133" t="s">
        <v>945</v>
      </c>
      <c r="D974" s="133" t="s">
        <v>961</v>
      </c>
      <c r="E974" s="116"/>
      <c r="F974" s="135">
        <v>0.142</v>
      </c>
      <c r="G974" s="118"/>
    </row>
    <row r="975">
      <c r="A975" s="132">
        <v>974.0</v>
      </c>
      <c r="B975" s="132" t="s">
        <v>933</v>
      </c>
      <c r="C975" s="133" t="s">
        <v>962</v>
      </c>
      <c r="D975" s="133" t="s">
        <v>963</v>
      </c>
      <c r="E975" s="116"/>
      <c r="F975" s="135">
        <v>0.137</v>
      </c>
      <c r="G975" s="118"/>
    </row>
    <row r="976">
      <c r="A976" s="132">
        <v>975.0</v>
      </c>
      <c r="B976" s="132" t="s">
        <v>933</v>
      </c>
      <c r="C976" s="133" t="s">
        <v>962</v>
      </c>
      <c r="D976" s="133" t="s">
        <v>964</v>
      </c>
      <c r="E976" s="116"/>
      <c r="F976" s="135">
        <v>0.137</v>
      </c>
      <c r="G976" s="118"/>
    </row>
    <row r="977">
      <c r="A977" s="132">
        <v>976.0</v>
      </c>
      <c r="B977" s="132" t="s">
        <v>933</v>
      </c>
      <c r="C977" s="133" t="s">
        <v>962</v>
      </c>
      <c r="D977" s="133" t="s">
        <v>965</v>
      </c>
      <c r="E977" s="116"/>
      <c r="F977" s="135">
        <v>0.085</v>
      </c>
      <c r="G977" s="118"/>
    </row>
    <row r="978">
      <c r="A978" s="132">
        <v>977.0</v>
      </c>
      <c r="B978" s="132" t="s">
        <v>933</v>
      </c>
      <c r="C978" s="133" t="s">
        <v>962</v>
      </c>
      <c r="D978" s="133" t="s">
        <v>966</v>
      </c>
      <c r="E978" s="116"/>
      <c r="F978" s="135">
        <v>0.137</v>
      </c>
      <c r="G978" s="118"/>
    </row>
    <row r="979">
      <c r="A979" s="132">
        <v>978.0</v>
      </c>
      <c r="B979" s="132" t="s">
        <v>933</v>
      </c>
      <c r="C979" s="133" t="s">
        <v>962</v>
      </c>
      <c r="D979" s="133" t="s">
        <v>967</v>
      </c>
      <c r="E979" s="116"/>
      <c r="F979" s="135">
        <v>0.137</v>
      </c>
      <c r="G979" s="118"/>
    </row>
    <row r="980">
      <c r="A980" s="132">
        <v>979.0</v>
      </c>
      <c r="B980" s="132" t="s">
        <v>933</v>
      </c>
      <c r="C980" s="133" t="s">
        <v>962</v>
      </c>
      <c r="D980" s="133" t="s">
        <v>968</v>
      </c>
      <c r="E980" s="116"/>
      <c r="F980" s="135">
        <v>0.137</v>
      </c>
      <c r="G980" s="118"/>
    </row>
    <row r="981">
      <c r="A981" s="132">
        <v>980.0</v>
      </c>
      <c r="B981" s="132" t="s">
        <v>933</v>
      </c>
      <c r="C981" s="133" t="s">
        <v>962</v>
      </c>
      <c r="D981" s="133" t="s">
        <v>969</v>
      </c>
      <c r="E981" s="116"/>
      <c r="F981" s="135">
        <v>0.137</v>
      </c>
      <c r="G981" s="118"/>
    </row>
    <row r="982">
      <c r="A982" s="132">
        <v>981.0</v>
      </c>
      <c r="B982" s="132" t="s">
        <v>933</v>
      </c>
      <c r="C982" s="133" t="s">
        <v>962</v>
      </c>
      <c r="D982" s="133" t="s">
        <v>970</v>
      </c>
      <c r="E982" s="116"/>
      <c r="F982" s="135">
        <v>0.085</v>
      </c>
      <c r="G982" s="118"/>
    </row>
    <row r="983">
      <c r="A983" s="132">
        <v>982.0</v>
      </c>
      <c r="B983" s="132" t="s">
        <v>933</v>
      </c>
      <c r="C983" s="133" t="s">
        <v>962</v>
      </c>
      <c r="D983" s="133" t="s">
        <v>971</v>
      </c>
      <c r="E983" s="116"/>
      <c r="F983" s="135">
        <v>0.137</v>
      </c>
      <c r="G983" s="118"/>
    </row>
    <row r="984">
      <c r="A984" s="132">
        <v>983.0</v>
      </c>
      <c r="B984" s="132" t="s">
        <v>933</v>
      </c>
      <c r="C984" s="133" t="s">
        <v>962</v>
      </c>
      <c r="D984" s="133" t="s">
        <v>62</v>
      </c>
      <c r="E984" s="116"/>
      <c r="F984" s="135">
        <v>0.137</v>
      </c>
      <c r="G984" s="118"/>
    </row>
    <row r="985">
      <c r="A985" s="132">
        <v>984.0</v>
      </c>
      <c r="B985" s="132" t="s">
        <v>933</v>
      </c>
      <c r="C985" s="133" t="s">
        <v>962</v>
      </c>
      <c r="D985" s="133" t="s">
        <v>972</v>
      </c>
      <c r="E985" s="116"/>
      <c r="F985" s="135">
        <v>0.137</v>
      </c>
      <c r="G985" s="118"/>
    </row>
    <row r="986">
      <c r="A986" s="132">
        <v>985.0</v>
      </c>
      <c r="B986" s="132" t="s">
        <v>933</v>
      </c>
      <c r="C986" s="133" t="s">
        <v>962</v>
      </c>
      <c r="D986" s="133" t="s">
        <v>973</v>
      </c>
      <c r="E986" s="116"/>
      <c r="F986" s="135">
        <v>0.137</v>
      </c>
      <c r="G986" s="118"/>
    </row>
    <row r="987">
      <c r="A987" s="132">
        <v>986.0</v>
      </c>
      <c r="B987" s="132" t="s">
        <v>933</v>
      </c>
      <c r="C987" s="133" t="s">
        <v>962</v>
      </c>
      <c r="D987" s="133" t="s">
        <v>974</v>
      </c>
      <c r="E987" s="116"/>
      <c r="F987" s="135">
        <v>0.137</v>
      </c>
      <c r="G987" s="118"/>
    </row>
    <row r="988">
      <c r="A988" s="132">
        <v>987.0</v>
      </c>
      <c r="B988" s="132" t="s">
        <v>933</v>
      </c>
      <c r="C988" s="133" t="s">
        <v>962</v>
      </c>
      <c r="D988" s="133" t="s">
        <v>975</v>
      </c>
      <c r="E988" s="116"/>
      <c r="F988" s="135">
        <v>0.137</v>
      </c>
      <c r="G988" s="118"/>
    </row>
    <row r="989">
      <c r="A989" s="132">
        <v>988.0</v>
      </c>
      <c r="B989" s="132" t="s">
        <v>933</v>
      </c>
      <c r="C989" s="133" t="s">
        <v>962</v>
      </c>
      <c r="D989" s="133" t="s">
        <v>976</v>
      </c>
      <c r="E989" s="116"/>
      <c r="F989" s="135">
        <v>0.137</v>
      </c>
      <c r="G989" s="118"/>
    </row>
    <row r="990">
      <c r="A990" s="132">
        <v>989.0</v>
      </c>
      <c r="B990" s="132" t="s">
        <v>933</v>
      </c>
      <c r="C990" s="133" t="s">
        <v>977</v>
      </c>
      <c r="D990" s="133" t="s">
        <v>978</v>
      </c>
      <c r="E990" s="116"/>
      <c r="F990" s="135">
        <v>0.137</v>
      </c>
      <c r="G990" s="118"/>
    </row>
    <row r="991">
      <c r="A991" s="132">
        <v>990.0</v>
      </c>
      <c r="B991" s="132" t="s">
        <v>933</v>
      </c>
      <c r="C991" s="133" t="s">
        <v>977</v>
      </c>
      <c r="D991" s="133" t="s">
        <v>979</v>
      </c>
      <c r="E991" s="116"/>
      <c r="F991" s="135">
        <v>0.137</v>
      </c>
      <c r="G991" s="118"/>
    </row>
    <row r="992">
      <c r="A992" s="132">
        <v>991.0</v>
      </c>
      <c r="B992" s="132" t="s">
        <v>933</v>
      </c>
      <c r="C992" s="133" t="s">
        <v>977</v>
      </c>
      <c r="D992" s="133" t="s">
        <v>62</v>
      </c>
      <c r="E992" s="116"/>
      <c r="F992" s="135">
        <v>0.137</v>
      </c>
      <c r="G992" s="118"/>
    </row>
    <row r="993">
      <c r="A993" s="132">
        <v>992.0</v>
      </c>
      <c r="B993" s="132" t="s">
        <v>933</v>
      </c>
      <c r="C993" s="133" t="s">
        <v>977</v>
      </c>
      <c r="D993" s="133" t="s">
        <v>980</v>
      </c>
      <c r="E993" s="116"/>
      <c r="F993" s="135">
        <v>0.137</v>
      </c>
      <c r="G993" s="118"/>
    </row>
    <row r="994">
      <c r="A994" s="132">
        <v>993.0</v>
      </c>
      <c r="B994" s="132" t="s">
        <v>933</v>
      </c>
      <c r="C994" s="133" t="s">
        <v>977</v>
      </c>
      <c r="D994" s="133" t="s">
        <v>981</v>
      </c>
      <c r="E994" s="116"/>
      <c r="F994" s="135">
        <v>0.137</v>
      </c>
      <c r="G994" s="118"/>
    </row>
    <row r="995">
      <c r="A995" s="132">
        <v>994.0</v>
      </c>
      <c r="B995" s="132" t="s">
        <v>933</v>
      </c>
      <c r="C995" s="133" t="s">
        <v>977</v>
      </c>
      <c r="D995" s="133" t="s">
        <v>982</v>
      </c>
      <c r="E995" s="116"/>
      <c r="F995" s="135">
        <v>0.137</v>
      </c>
      <c r="G995" s="118"/>
    </row>
    <row r="996">
      <c r="A996" s="132">
        <v>995.0</v>
      </c>
      <c r="B996" s="132" t="s">
        <v>933</v>
      </c>
      <c r="C996" s="133" t="s">
        <v>983</v>
      </c>
      <c r="D996" s="134"/>
      <c r="E996" s="116"/>
      <c r="F996" s="135">
        <v>0.137</v>
      </c>
      <c r="G996" s="118"/>
    </row>
    <row r="997">
      <c r="A997" s="132">
        <v>996.0</v>
      </c>
      <c r="B997" s="132" t="s">
        <v>933</v>
      </c>
      <c r="C997" s="133" t="s">
        <v>984</v>
      </c>
      <c r="D997" s="133" t="s">
        <v>985</v>
      </c>
      <c r="E997" s="116"/>
      <c r="F997" s="135">
        <v>0.142</v>
      </c>
      <c r="G997" s="118"/>
    </row>
    <row r="998">
      <c r="A998" s="132">
        <v>997.0</v>
      </c>
      <c r="B998" s="132" t="s">
        <v>933</v>
      </c>
      <c r="C998" s="133" t="s">
        <v>984</v>
      </c>
      <c r="D998" s="133" t="s">
        <v>986</v>
      </c>
      <c r="E998" s="116"/>
      <c r="F998" s="135">
        <v>0.142</v>
      </c>
      <c r="G998" s="118"/>
    </row>
    <row r="999">
      <c r="A999" s="132">
        <v>998.0</v>
      </c>
      <c r="B999" s="132" t="s">
        <v>933</v>
      </c>
      <c r="C999" s="133" t="s">
        <v>984</v>
      </c>
      <c r="D999" s="133" t="s">
        <v>987</v>
      </c>
      <c r="E999" s="116"/>
      <c r="F999" s="135">
        <v>0.142</v>
      </c>
      <c r="G999" s="118"/>
    </row>
    <row r="1000">
      <c r="A1000" s="132">
        <v>999.0</v>
      </c>
      <c r="B1000" s="132" t="s">
        <v>933</v>
      </c>
      <c r="C1000" s="133" t="s">
        <v>984</v>
      </c>
      <c r="D1000" s="133" t="s">
        <v>988</v>
      </c>
      <c r="E1000" s="116"/>
      <c r="F1000" s="135">
        <v>0.142</v>
      </c>
      <c r="G1000" s="118"/>
    </row>
    <row r="1001">
      <c r="A1001" s="132">
        <v>1000.0</v>
      </c>
      <c r="B1001" s="132" t="s">
        <v>933</v>
      </c>
      <c r="C1001" s="133" t="s">
        <v>984</v>
      </c>
      <c r="D1001" s="133" t="s">
        <v>989</v>
      </c>
      <c r="E1001" s="116"/>
      <c r="F1001" s="135">
        <v>0.142</v>
      </c>
      <c r="G1001" s="118"/>
    </row>
    <row r="1002">
      <c r="A1002" s="132">
        <v>1001.0</v>
      </c>
      <c r="B1002" s="132" t="s">
        <v>933</v>
      </c>
      <c r="C1002" s="133" t="s">
        <v>984</v>
      </c>
      <c r="D1002" s="133" t="s">
        <v>62</v>
      </c>
      <c r="E1002" s="116"/>
      <c r="F1002" s="135">
        <v>0.142</v>
      </c>
      <c r="G1002" s="118"/>
    </row>
    <row r="1003">
      <c r="A1003" s="132">
        <v>1002.0</v>
      </c>
      <c r="B1003" s="132" t="s">
        <v>933</v>
      </c>
      <c r="C1003" s="133" t="s">
        <v>990</v>
      </c>
      <c r="D1003" s="133" t="s">
        <v>62</v>
      </c>
      <c r="E1003" s="116"/>
      <c r="F1003" s="135">
        <v>0.126</v>
      </c>
      <c r="G1003" s="118"/>
    </row>
    <row r="1004">
      <c r="A1004" s="132">
        <v>1003.0</v>
      </c>
      <c r="B1004" s="132" t="s">
        <v>933</v>
      </c>
      <c r="C1004" s="133" t="s">
        <v>990</v>
      </c>
      <c r="D1004" s="133" t="s">
        <v>991</v>
      </c>
      <c r="E1004" s="116"/>
      <c r="F1004" s="135">
        <v>0.126</v>
      </c>
      <c r="G1004" s="118"/>
    </row>
    <row r="1005">
      <c r="A1005" s="132">
        <v>1004.0</v>
      </c>
      <c r="B1005" s="132" t="s">
        <v>933</v>
      </c>
      <c r="C1005" s="133" t="s">
        <v>990</v>
      </c>
      <c r="D1005" s="133" t="s">
        <v>992</v>
      </c>
      <c r="E1005" s="116"/>
      <c r="F1005" s="135">
        <v>0.126</v>
      </c>
      <c r="G1005" s="118"/>
    </row>
    <row r="1006">
      <c r="A1006" s="132">
        <v>1005.0</v>
      </c>
      <c r="B1006" s="132" t="s">
        <v>933</v>
      </c>
      <c r="C1006" s="133" t="s">
        <v>993</v>
      </c>
      <c r="D1006" s="134"/>
      <c r="E1006" s="116"/>
      <c r="F1006" s="135">
        <v>0.137</v>
      </c>
      <c r="G1006" s="118"/>
    </row>
    <row r="1007">
      <c r="A1007" s="132">
        <v>1006.0</v>
      </c>
      <c r="B1007" s="132" t="s">
        <v>933</v>
      </c>
      <c r="C1007" s="133" t="s">
        <v>62</v>
      </c>
      <c r="D1007" s="134"/>
      <c r="E1007" s="116"/>
      <c r="F1007" s="135">
        <v>0.137</v>
      </c>
      <c r="G1007" s="118"/>
    </row>
    <row r="1008">
      <c r="A1008" s="132">
        <v>1007.0</v>
      </c>
      <c r="B1008" s="132" t="s">
        <v>994</v>
      </c>
      <c r="C1008" s="133" t="s">
        <v>995</v>
      </c>
      <c r="D1008" s="133" t="s">
        <v>996</v>
      </c>
      <c r="E1008" s="116"/>
      <c r="F1008" s="135">
        <v>0.126</v>
      </c>
      <c r="G1008" s="118"/>
    </row>
    <row r="1009">
      <c r="A1009" s="132">
        <v>1008.0</v>
      </c>
      <c r="B1009" s="132" t="s">
        <v>994</v>
      </c>
      <c r="C1009" s="133" t="s">
        <v>995</v>
      </c>
      <c r="D1009" s="133" t="s">
        <v>997</v>
      </c>
      <c r="E1009" s="116"/>
      <c r="F1009" s="135">
        <v>0.126</v>
      </c>
      <c r="G1009" s="118"/>
    </row>
    <row r="1010">
      <c r="A1010" s="132">
        <v>1009.0</v>
      </c>
      <c r="B1010" s="132" t="s">
        <v>994</v>
      </c>
      <c r="C1010" s="133" t="s">
        <v>995</v>
      </c>
      <c r="D1010" s="133" t="s">
        <v>998</v>
      </c>
      <c r="E1010" s="116"/>
      <c r="F1010" s="135">
        <v>0.126</v>
      </c>
      <c r="G1010" s="118"/>
    </row>
    <row r="1011">
      <c r="A1011" s="132">
        <v>1010.0</v>
      </c>
      <c r="B1011" s="132" t="s">
        <v>994</v>
      </c>
      <c r="C1011" s="133" t="s">
        <v>995</v>
      </c>
      <c r="D1011" s="133" t="s">
        <v>999</v>
      </c>
      <c r="E1011" s="116"/>
      <c r="F1011" s="135">
        <v>0.126</v>
      </c>
      <c r="G1011" s="118"/>
    </row>
    <row r="1012">
      <c r="A1012" s="132">
        <v>1011.0</v>
      </c>
      <c r="B1012" s="132" t="s">
        <v>994</v>
      </c>
      <c r="C1012" s="133" t="s">
        <v>995</v>
      </c>
      <c r="D1012" s="133" t="s">
        <v>1000</v>
      </c>
      <c r="E1012" s="116"/>
      <c r="F1012" s="135">
        <v>0.126</v>
      </c>
      <c r="G1012" s="118"/>
    </row>
    <row r="1013">
      <c r="A1013" s="132">
        <v>1012.0</v>
      </c>
      <c r="B1013" s="132" t="s">
        <v>994</v>
      </c>
      <c r="C1013" s="133" t="s">
        <v>995</v>
      </c>
      <c r="D1013" s="133" t="s">
        <v>1001</v>
      </c>
      <c r="E1013" s="116"/>
      <c r="F1013" s="135">
        <v>0.126</v>
      </c>
      <c r="G1013" s="118"/>
    </row>
    <row r="1014">
      <c r="A1014" s="132">
        <v>1013.0</v>
      </c>
      <c r="B1014" s="132" t="s">
        <v>994</v>
      </c>
      <c r="C1014" s="133" t="s">
        <v>995</v>
      </c>
      <c r="D1014" s="133" t="s">
        <v>1002</v>
      </c>
      <c r="E1014" s="116"/>
      <c r="F1014" s="135">
        <v>0.126</v>
      </c>
      <c r="G1014" s="118"/>
    </row>
    <row r="1015">
      <c r="A1015" s="132">
        <v>1014.0</v>
      </c>
      <c r="B1015" s="132" t="s">
        <v>994</v>
      </c>
      <c r="C1015" s="133" t="s">
        <v>995</v>
      </c>
      <c r="D1015" s="133" t="s">
        <v>1003</v>
      </c>
      <c r="E1015" s="116"/>
      <c r="F1015" s="135">
        <v>0.126</v>
      </c>
      <c r="G1015" s="118"/>
    </row>
    <row r="1016">
      <c r="A1016" s="132">
        <v>1015.0</v>
      </c>
      <c r="B1016" s="132" t="s">
        <v>994</v>
      </c>
      <c r="C1016" s="133" t="s">
        <v>995</v>
      </c>
      <c r="D1016" s="133" t="s">
        <v>1004</v>
      </c>
      <c r="E1016" s="116"/>
      <c r="F1016" s="135">
        <v>0.126</v>
      </c>
      <c r="G1016" s="118"/>
    </row>
    <row r="1017">
      <c r="A1017" s="132">
        <v>1016.0</v>
      </c>
      <c r="B1017" s="132" t="s">
        <v>994</v>
      </c>
      <c r="C1017" s="133" t="s">
        <v>995</v>
      </c>
      <c r="D1017" s="133" t="s">
        <v>1005</v>
      </c>
      <c r="E1017" s="116"/>
      <c r="F1017" s="135">
        <v>0.126</v>
      </c>
      <c r="G1017" s="118"/>
    </row>
    <row r="1018">
      <c r="A1018" s="132">
        <v>1017.0</v>
      </c>
      <c r="B1018" s="132" t="s">
        <v>994</v>
      </c>
      <c r="C1018" s="133" t="s">
        <v>995</v>
      </c>
      <c r="D1018" s="133" t="s">
        <v>1006</v>
      </c>
      <c r="E1018" s="116"/>
      <c r="F1018" s="135">
        <v>0.126</v>
      </c>
      <c r="G1018" s="118"/>
    </row>
    <row r="1019">
      <c r="A1019" s="132">
        <v>1018.0</v>
      </c>
      <c r="B1019" s="132" t="s">
        <v>994</v>
      </c>
      <c r="C1019" s="133" t="s">
        <v>995</v>
      </c>
      <c r="D1019" s="133" t="s">
        <v>1007</v>
      </c>
      <c r="E1019" s="116"/>
      <c r="F1019" s="135">
        <v>0.126</v>
      </c>
      <c r="G1019" s="118"/>
    </row>
    <row r="1020">
      <c r="A1020" s="132">
        <v>1019.0</v>
      </c>
      <c r="B1020" s="132" t="s">
        <v>994</v>
      </c>
      <c r="C1020" s="133" t="s">
        <v>995</v>
      </c>
      <c r="D1020" s="133" t="s">
        <v>1008</v>
      </c>
      <c r="E1020" s="116"/>
      <c r="F1020" s="135">
        <v>0.126</v>
      </c>
      <c r="G1020" s="118"/>
    </row>
    <row r="1021">
      <c r="A1021" s="132">
        <v>1020.0</v>
      </c>
      <c r="B1021" s="132" t="s">
        <v>994</v>
      </c>
      <c r="C1021" s="133" t="s">
        <v>995</v>
      </c>
      <c r="D1021" s="133" t="s">
        <v>1009</v>
      </c>
      <c r="E1021" s="116"/>
      <c r="F1021" s="135">
        <v>0.126</v>
      </c>
      <c r="G1021" s="118"/>
    </row>
    <row r="1022">
      <c r="A1022" s="132">
        <v>1021.0</v>
      </c>
      <c r="B1022" s="132" t="s">
        <v>994</v>
      </c>
      <c r="C1022" s="133" t="s">
        <v>995</v>
      </c>
      <c r="D1022" s="133" t="s">
        <v>1010</v>
      </c>
      <c r="E1022" s="116"/>
      <c r="F1022" s="135">
        <v>0.126</v>
      </c>
      <c r="G1022" s="118"/>
    </row>
    <row r="1023">
      <c r="A1023" s="132">
        <v>1022.0</v>
      </c>
      <c r="B1023" s="132" t="s">
        <v>994</v>
      </c>
      <c r="C1023" s="133" t="s">
        <v>995</v>
      </c>
      <c r="D1023" s="133" t="s">
        <v>1011</v>
      </c>
      <c r="E1023" s="116"/>
      <c r="F1023" s="135">
        <v>0.126</v>
      </c>
      <c r="G1023" s="118"/>
    </row>
    <row r="1024">
      <c r="A1024" s="132">
        <v>1023.0</v>
      </c>
      <c r="B1024" s="132" t="s">
        <v>994</v>
      </c>
      <c r="C1024" s="133" t="s">
        <v>995</v>
      </c>
      <c r="D1024" s="133" t="s">
        <v>1012</v>
      </c>
      <c r="E1024" s="116"/>
      <c r="F1024" s="135">
        <v>0.126</v>
      </c>
      <c r="G1024" s="118"/>
    </row>
    <row r="1025">
      <c r="A1025" s="132">
        <v>1024.0</v>
      </c>
      <c r="B1025" s="132" t="s">
        <v>994</v>
      </c>
      <c r="C1025" s="133" t="s">
        <v>995</v>
      </c>
      <c r="D1025" s="133" t="s">
        <v>1013</v>
      </c>
      <c r="E1025" s="116"/>
      <c r="F1025" s="135">
        <v>0.126</v>
      </c>
      <c r="G1025" s="118"/>
    </row>
    <row r="1026">
      <c r="A1026" s="132">
        <v>1025.0</v>
      </c>
      <c r="B1026" s="132" t="s">
        <v>994</v>
      </c>
      <c r="C1026" s="133" t="s">
        <v>995</v>
      </c>
      <c r="D1026" s="133" t="s">
        <v>1014</v>
      </c>
      <c r="E1026" s="116"/>
      <c r="F1026" s="135">
        <v>0.126</v>
      </c>
      <c r="G1026" s="118"/>
    </row>
    <row r="1027">
      <c r="A1027" s="132">
        <v>1026.0</v>
      </c>
      <c r="B1027" s="132" t="s">
        <v>994</v>
      </c>
      <c r="C1027" s="133" t="s">
        <v>995</v>
      </c>
      <c r="D1027" s="133" t="s">
        <v>1015</v>
      </c>
      <c r="E1027" s="116"/>
      <c r="F1027" s="135">
        <v>0.126</v>
      </c>
      <c r="G1027" s="118"/>
    </row>
    <row r="1028">
      <c r="A1028" s="132">
        <v>1027.0</v>
      </c>
      <c r="B1028" s="132" t="s">
        <v>994</v>
      </c>
      <c r="C1028" s="133" t="s">
        <v>995</v>
      </c>
      <c r="D1028" s="133" t="s">
        <v>1016</v>
      </c>
      <c r="E1028" s="116"/>
      <c r="F1028" s="135">
        <v>0.126</v>
      </c>
      <c r="G1028" s="118"/>
    </row>
    <row r="1029">
      <c r="A1029" s="132">
        <v>1028.0</v>
      </c>
      <c r="B1029" s="132" t="s">
        <v>994</v>
      </c>
      <c r="C1029" s="133" t="s">
        <v>995</v>
      </c>
      <c r="D1029" s="133" t="s">
        <v>1017</v>
      </c>
      <c r="E1029" s="116"/>
      <c r="F1029" s="135">
        <v>0.126</v>
      </c>
      <c r="G1029" s="118"/>
    </row>
    <row r="1030">
      <c r="A1030" s="132">
        <v>1029.0</v>
      </c>
      <c r="B1030" s="132" t="s">
        <v>994</v>
      </c>
      <c r="C1030" s="133" t="s">
        <v>995</v>
      </c>
      <c r="D1030" s="133" t="s">
        <v>1018</v>
      </c>
      <c r="E1030" s="116"/>
      <c r="F1030" s="135">
        <v>0.126</v>
      </c>
      <c r="G1030" s="118"/>
    </row>
    <row r="1031">
      <c r="A1031" s="132">
        <v>1030.0</v>
      </c>
      <c r="B1031" s="132" t="s">
        <v>994</v>
      </c>
      <c r="C1031" s="133" t="s">
        <v>995</v>
      </c>
      <c r="D1031" s="133" t="s">
        <v>1019</v>
      </c>
      <c r="E1031" s="116"/>
      <c r="F1031" s="135">
        <v>0.126</v>
      </c>
      <c r="G1031" s="118"/>
    </row>
    <row r="1032">
      <c r="A1032" s="132">
        <v>1031.0</v>
      </c>
      <c r="B1032" s="132" t="s">
        <v>994</v>
      </c>
      <c r="C1032" s="133" t="s">
        <v>995</v>
      </c>
      <c r="D1032" s="133" t="s">
        <v>62</v>
      </c>
      <c r="E1032" s="116"/>
      <c r="F1032" s="135">
        <v>0.126</v>
      </c>
      <c r="G1032" s="118"/>
    </row>
    <row r="1033">
      <c r="A1033" s="132">
        <v>1032.0</v>
      </c>
      <c r="B1033" s="132" t="s">
        <v>994</v>
      </c>
      <c r="C1033" s="133" t="s">
        <v>995</v>
      </c>
      <c r="D1033" s="133" t="s">
        <v>1020</v>
      </c>
      <c r="E1033" s="116"/>
      <c r="F1033" s="135">
        <v>0.126</v>
      </c>
      <c r="G1033" s="118"/>
    </row>
    <row r="1034">
      <c r="A1034" s="132">
        <v>1033.0</v>
      </c>
      <c r="B1034" s="132" t="s">
        <v>994</v>
      </c>
      <c r="C1034" s="133" t="s">
        <v>995</v>
      </c>
      <c r="D1034" s="133" t="s">
        <v>1021</v>
      </c>
      <c r="E1034" s="116"/>
      <c r="F1034" s="135">
        <v>0.126</v>
      </c>
      <c r="G1034" s="118"/>
    </row>
    <row r="1035">
      <c r="A1035" s="132">
        <v>1034.0</v>
      </c>
      <c r="B1035" s="132" t="s">
        <v>994</v>
      </c>
      <c r="C1035" s="133" t="s">
        <v>995</v>
      </c>
      <c r="D1035" s="133" t="s">
        <v>1022</v>
      </c>
      <c r="E1035" s="116"/>
      <c r="F1035" s="135">
        <v>0.126</v>
      </c>
      <c r="G1035" s="118"/>
    </row>
    <row r="1036">
      <c r="A1036" s="132">
        <v>1035.0</v>
      </c>
      <c r="B1036" s="132" t="s">
        <v>994</v>
      </c>
      <c r="C1036" s="133" t="s">
        <v>995</v>
      </c>
      <c r="D1036" s="133" t="s">
        <v>1023</v>
      </c>
      <c r="E1036" s="116"/>
      <c r="F1036" s="135">
        <v>0.126</v>
      </c>
      <c r="G1036" s="118"/>
    </row>
    <row r="1037">
      <c r="A1037" s="132">
        <v>1036.0</v>
      </c>
      <c r="B1037" s="132" t="s">
        <v>994</v>
      </c>
      <c r="C1037" s="133" t="s">
        <v>995</v>
      </c>
      <c r="D1037" s="133" t="s">
        <v>1024</v>
      </c>
      <c r="E1037" s="116"/>
      <c r="F1037" s="135">
        <v>0.126</v>
      </c>
      <c r="G1037" s="118"/>
    </row>
    <row r="1038">
      <c r="A1038" s="132">
        <v>1037.0</v>
      </c>
      <c r="B1038" s="132" t="s">
        <v>994</v>
      </c>
      <c r="C1038" s="133" t="s">
        <v>995</v>
      </c>
      <c r="D1038" s="133" t="s">
        <v>1025</v>
      </c>
      <c r="E1038" s="116"/>
      <c r="F1038" s="135">
        <v>0.126</v>
      </c>
      <c r="G1038" s="118"/>
    </row>
    <row r="1039">
      <c r="A1039" s="132">
        <v>1038.0</v>
      </c>
      <c r="B1039" s="132" t="s">
        <v>994</v>
      </c>
      <c r="C1039" s="133" t="s">
        <v>995</v>
      </c>
      <c r="D1039" s="133" t="s">
        <v>1026</v>
      </c>
      <c r="E1039" s="116"/>
      <c r="F1039" s="135">
        <v>0.126</v>
      </c>
      <c r="G1039" s="118"/>
    </row>
    <row r="1040">
      <c r="A1040" s="132">
        <v>1039.0</v>
      </c>
      <c r="B1040" s="132" t="s">
        <v>994</v>
      </c>
      <c r="C1040" s="133" t="s">
        <v>995</v>
      </c>
      <c r="D1040" s="133" t="s">
        <v>1027</v>
      </c>
      <c r="E1040" s="116"/>
      <c r="F1040" s="135">
        <v>0.126</v>
      </c>
      <c r="G1040" s="118"/>
    </row>
    <row r="1041">
      <c r="A1041" s="132">
        <v>1040.0</v>
      </c>
      <c r="B1041" s="132" t="s">
        <v>994</v>
      </c>
      <c r="C1041" s="133" t="s">
        <v>995</v>
      </c>
      <c r="D1041" s="133" t="s">
        <v>1028</v>
      </c>
      <c r="E1041" s="116"/>
      <c r="F1041" s="135">
        <v>0.126</v>
      </c>
      <c r="G1041" s="118"/>
    </row>
    <row r="1042">
      <c r="A1042" s="132">
        <v>1041.0</v>
      </c>
      <c r="B1042" s="132" t="s">
        <v>994</v>
      </c>
      <c r="C1042" s="133" t="s">
        <v>1029</v>
      </c>
      <c r="D1042" s="134"/>
      <c r="E1042" s="116"/>
      <c r="F1042" s="135">
        <v>0.126</v>
      </c>
      <c r="G1042" s="118"/>
    </row>
    <row r="1043">
      <c r="A1043" s="132">
        <v>1042.0</v>
      </c>
      <c r="B1043" s="132" t="s">
        <v>994</v>
      </c>
      <c r="C1043" s="133" t="s">
        <v>1030</v>
      </c>
      <c r="D1043" s="133" t="s">
        <v>1031</v>
      </c>
      <c r="E1043" s="116"/>
      <c r="F1043" s="135">
        <v>0.126</v>
      </c>
      <c r="G1043" s="118"/>
    </row>
    <row r="1044">
      <c r="A1044" s="132">
        <v>1043.0</v>
      </c>
      <c r="B1044" s="132" t="s">
        <v>994</v>
      </c>
      <c r="C1044" s="133" t="s">
        <v>1030</v>
      </c>
      <c r="D1044" s="133" t="s">
        <v>1032</v>
      </c>
      <c r="E1044" s="116"/>
      <c r="F1044" s="135">
        <v>0.126</v>
      </c>
      <c r="G1044" s="118"/>
    </row>
    <row r="1045">
      <c r="A1045" s="132">
        <v>1044.0</v>
      </c>
      <c r="B1045" s="132" t="s">
        <v>994</v>
      </c>
      <c r="C1045" s="133" t="s">
        <v>1030</v>
      </c>
      <c r="D1045" s="133" t="s">
        <v>62</v>
      </c>
      <c r="E1045" s="116"/>
      <c r="F1045" s="135">
        <v>0.126</v>
      </c>
      <c r="G1045" s="118"/>
    </row>
    <row r="1046">
      <c r="A1046" s="132">
        <v>1045.0</v>
      </c>
      <c r="B1046" s="132" t="s">
        <v>994</v>
      </c>
      <c r="C1046" s="133" t="s">
        <v>1030</v>
      </c>
      <c r="D1046" s="133" t="s">
        <v>1033</v>
      </c>
      <c r="E1046" s="116"/>
      <c r="F1046" s="135">
        <v>0.126</v>
      </c>
      <c r="G1046" s="118"/>
    </row>
    <row r="1047">
      <c r="A1047" s="132">
        <v>1046.0</v>
      </c>
      <c r="B1047" s="132" t="s">
        <v>994</v>
      </c>
      <c r="C1047" s="133" t="s">
        <v>62</v>
      </c>
      <c r="D1047" s="134"/>
      <c r="E1047" s="116"/>
      <c r="F1047" s="135">
        <v>0.126</v>
      </c>
      <c r="G1047" s="118"/>
    </row>
    <row r="1048">
      <c r="A1048" s="132">
        <v>1047.0</v>
      </c>
      <c r="B1048" s="132" t="s">
        <v>1034</v>
      </c>
      <c r="C1048" s="133" t="s">
        <v>1035</v>
      </c>
      <c r="D1048" s="134"/>
      <c r="E1048" s="116"/>
      <c r="F1048" s="135">
        <v>0.137</v>
      </c>
      <c r="G1048" s="118"/>
    </row>
    <row r="1049">
      <c r="A1049" s="132">
        <v>1048.0</v>
      </c>
      <c r="B1049" s="132" t="s">
        <v>1034</v>
      </c>
      <c r="C1049" s="133" t="s">
        <v>1036</v>
      </c>
      <c r="D1049" s="133" t="s">
        <v>1037</v>
      </c>
      <c r="E1049" s="116"/>
      <c r="F1049" s="135">
        <v>0.126</v>
      </c>
      <c r="G1049" s="118"/>
    </row>
    <row r="1050">
      <c r="A1050" s="132">
        <v>1049.0</v>
      </c>
      <c r="B1050" s="132" t="s">
        <v>1034</v>
      </c>
      <c r="C1050" s="133" t="s">
        <v>1036</v>
      </c>
      <c r="D1050" s="133" t="s">
        <v>1038</v>
      </c>
      <c r="E1050" s="116"/>
      <c r="F1050" s="135">
        <v>0.126</v>
      </c>
      <c r="G1050" s="118"/>
    </row>
    <row r="1051">
      <c r="A1051" s="132">
        <v>1050.0</v>
      </c>
      <c r="B1051" s="132" t="s">
        <v>1034</v>
      </c>
      <c r="C1051" s="133" t="s">
        <v>1036</v>
      </c>
      <c r="D1051" s="133" t="s">
        <v>1039</v>
      </c>
      <c r="E1051" s="116"/>
      <c r="F1051" s="135">
        <v>0.126</v>
      </c>
      <c r="G1051" s="118"/>
    </row>
    <row r="1052">
      <c r="A1052" s="132">
        <v>1051.0</v>
      </c>
      <c r="B1052" s="132" t="s">
        <v>1034</v>
      </c>
      <c r="C1052" s="133" t="s">
        <v>1036</v>
      </c>
      <c r="D1052" s="133" t="s">
        <v>1040</v>
      </c>
      <c r="E1052" s="116"/>
      <c r="F1052" s="135">
        <v>0.126</v>
      </c>
      <c r="G1052" s="118"/>
    </row>
    <row r="1053">
      <c r="A1053" s="132">
        <v>1052.0</v>
      </c>
      <c r="B1053" s="132" t="s">
        <v>1034</v>
      </c>
      <c r="C1053" s="133" t="s">
        <v>1036</v>
      </c>
      <c r="D1053" s="133" t="s">
        <v>1041</v>
      </c>
      <c r="E1053" s="116"/>
      <c r="F1053" s="135">
        <v>0.126</v>
      </c>
      <c r="G1053" s="118"/>
    </row>
    <row r="1054">
      <c r="A1054" s="132">
        <v>1053.0</v>
      </c>
      <c r="B1054" s="132" t="s">
        <v>1034</v>
      </c>
      <c r="C1054" s="133" t="s">
        <v>1036</v>
      </c>
      <c r="D1054" s="133" t="s">
        <v>62</v>
      </c>
      <c r="E1054" s="116"/>
      <c r="F1054" s="135">
        <v>0.126</v>
      </c>
      <c r="G1054" s="118"/>
    </row>
    <row r="1055">
      <c r="A1055" s="132">
        <v>1054.0</v>
      </c>
      <c r="B1055" s="132" t="s">
        <v>1034</v>
      </c>
      <c r="C1055" s="133" t="s">
        <v>1036</v>
      </c>
      <c r="D1055" s="133" t="s">
        <v>1042</v>
      </c>
      <c r="E1055" s="116"/>
      <c r="F1055" s="135">
        <v>0.126</v>
      </c>
      <c r="G1055" s="118"/>
    </row>
    <row r="1056">
      <c r="A1056" s="132">
        <v>1055.0</v>
      </c>
      <c r="B1056" s="132" t="s">
        <v>1034</v>
      </c>
      <c r="C1056" s="133" t="s">
        <v>1036</v>
      </c>
      <c r="D1056" s="133" t="s">
        <v>1043</v>
      </c>
      <c r="E1056" s="116"/>
      <c r="F1056" s="135">
        <v>0.126</v>
      </c>
      <c r="G1056" s="118"/>
    </row>
    <row r="1057">
      <c r="A1057" s="132">
        <v>1056.0</v>
      </c>
      <c r="B1057" s="132" t="s">
        <v>1034</v>
      </c>
      <c r="C1057" s="133" t="s">
        <v>1036</v>
      </c>
      <c r="D1057" s="133" t="s">
        <v>1044</v>
      </c>
      <c r="E1057" s="116"/>
      <c r="F1057" s="135">
        <v>0.126</v>
      </c>
      <c r="G1057" s="118"/>
    </row>
    <row r="1058">
      <c r="A1058" s="132">
        <v>1057.0</v>
      </c>
      <c r="B1058" s="132" t="s">
        <v>1034</v>
      </c>
      <c r="C1058" s="133" t="s">
        <v>1036</v>
      </c>
      <c r="D1058" s="133" t="s">
        <v>1045</v>
      </c>
      <c r="E1058" s="116"/>
      <c r="F1058" s="135">
        <v>0.126</v>
      </c>
      <c r="G1058" s="118"/>
    </row>
    <row r="1059">
      <c r="A1059" s="132">
        <v>1058.0</v>
      </c>
      <c r="B1059" s="132" t="s">
        <v>1034</v>
      </c>
      <c r="C1059" s="133" t="s">
        <v>1046</v>
      </c>
      <c r="D1059" s="133" t="s">
        <v>1047</v>
      </c>
      <c r="E1059" s="116"/>
      <c r="F1059" s="135">
        <v>0.094</v>
      </c>
      <c r="G1059" s="118"/>
    </row>
    <row r="1060">
      <c r="A1060" s="132">
        <v>1059.0</v>
      </c>
      <c r="B1060" s="132" t="s">
        <v>1034</v>
      </c>
      <c r="C1060" s="133" t="s">
        <v>1046</v>
      </c>
      <c r="D1060" s="133" t="s">
        <v>1048</v>
      </c>
      <c r="E1060" s="116"/>
      <c r="F1060" s="135">
        <v>0.137</v>
      </c>
      <c r="G1060" s="118"/>
    </row>
    <row r="1061">
      <c r="A1061" s="132">
        <v>1060.0</v>
      </c>
      <c r="B1061" s="132" t="s">
        <v>1034</v>
      </c>
      <c r="C1061" s="133" t="s">
        <v>1046</v>
      </c>
      <c r="D1061" s="133" t="s">
        <v>62</v>
      </c>
      <c r="E1061" s="116"/>
      <c r="F1061" s="135">
        <v>0.137</v>
      </c>
      <c r="G1061" s="118"/>
    </row>
    <row r="1062">
      <c r="A1062" s="132">
        <v>1061.0</v>
      </c>
      <c r="B1062" s="132" t="s">
        <v>1034</v>
      </c>
      <c r="C1062" s="133" t="s">
        <v>1046</v>
      </c>
      <c r="D1062" s="133" t="s">
        <v>1049</v>
      </c>
      <c r="E1062" s="116"/>
      <c r="F1062" s="135">
        <v>0.094</v>
      </c>
      <c r="G1062" s="118"/>
    </row>
    <row r="1063">
      <c r="A1063" s="132">
        <v>1062.0</v>
      </c>
      <c r="B1063" s="132" t="s">
        <v>1034</v>
      </c>
      <c r="C1063" s="133" t="s">
        <v>1046</v>
      </c>
      <c r="D1063" s="133" t="s">
        <v>1050</v>
      </c>
      <c r="E1063" s="116"/>
      <c r="F1063" s="135">
        <v>0.094</v>
      </c>
      <c r="G1063" s="118"/>
    </row>
    <row r="1064">
      <c r="A1064" s="132">
        <v>1063.0</v>
      </c>
      <c r="B1064" s="132" t="s">
        <v>1034</v>
      </c>
      <c r="C1064" s="133" t="s">
        <v>1046</v>
      </c>
      <c r="D1064" s="133" t="s">
        <v>1051</v>
      </c>
      <c r="E1064" s="116"/>
      <c r="F1064" s="135">
        <v>0.137</v>
      </c>
      <c r="G1064" s="118"/>
    </row>
    <row r="1065">
      <c r="A1065" s="132">
        <v>1064.0</v>
      </c>
      <c r="B1065" s="132" t="s">
        <v>1034</v>
      </c>
      <c r="C1065" s="133" t="s">
        <v>1052</v>
      </c>
      <c r="D1065" s="134"/>
      <c r="E1065" s="116"/>
      <c r="F1065" s="135">
        <v>0.137</v>
      </c>
      <c r="G1065" s="118"/>
    </row>
    <row r="1066">
      <c r="A1066" s="132">
        <v>1065.0</v>
      </c>
      <c r="B1066" s="132" t="s">
        <v>1034</v>
      </c>
      <c r="C1066" s="133" t="s">
        <v>62</v>
      </c>
      <c r="D1066" s="134"/>
      <c r="E1066" s="116"/>
      <c r="F1066" s="135">
        <v>0.137</v>
      </c>
      <c r="G1066" s="118"/>
    </row>
    <row r="1067">
      <c r="A1067" s="132">
        <v>1066.0</v>
      </c>
      <c r="B1067" s="132" t="s">
        <v>1034</v>
      </c>
      <c r="C1067" s="133" t="s">
        <v>1053</v>
      </c>
      <c r="D1067" s="134"/>
      <c r="E1067" s="116"/>
      <c r="F1067" s="135">
        <v>0.137</v>
      </c>
      <c r="G1067" s="118"/>
    </row>
    <row r="1068">
      <c r="A1068" s="132">
        <v>1067.0</v>
      </c>
      <c r="B1068" s="132" t="s">
        <v>1034</v>
      </c>
      <c r="C1068" s="133" t="s">
        <v>1054</v>
      </c>
      <c r="D1068" s="133" t="s">
        <v>1055</v>
      </c>
      <c r="E1068" s="116"/>
      <c r="F1068" s="135">
        <v>0.137</v>
      </c>
      <c r="G1068" s="118"/>
    </row>
    <row r="1069">
      <c r="A1069" s="132">
        <v>1068.0</v>
      </c>
      <c r="B1069" s="132" t="s">
        <v>1034</v>
      </c>
      <c r="C1069" s="133" t="s">
        <v>1054</v>
      </c>
      <c r="D1069" s="133" t="s">
        <v>1056</v>
      </c>
      <c r="E1069" s="116"/>
      <c r="F1069" s="135">
        <v>0.137</v>
      </c>
      <c r="G1069" s="118"/>
    </row>
    <row r="1070">
      <c r="A1070" s="132">
        <v>1069.0</v>
      </c>
      <c r="B1070" s="132" t="s">
        <v>1034</v>
      </c>
      <c r="C1070" s="133" t="s">
        <v>1054</v>
      </c>
      <c r="D1070" s="133" t="s">
        <v>1057</v>
      </c>
      <c r="E1070" s="116"/>
      <c r="F1070" s="135">
        <v>0.137</v>
      </c>
      <c r="G1070" s="118"/>
    </row>
    <row r="1071">
      <c r="A1071" s="132">
        <v>1070.0</v>
      </c>
      <c r="B1071" s="132" t="s">
        <v>1034</v>
      </c>
      <c r="C1071" s="133" t="s">
        <v>1054</v>
      </c>
      <c r="D1071" s="133" t="s">
        <v>1058</v>
      </c>
      <c r="E1071" s="116"/>
      <c r="F1071" s="135">
        <v>0.137</v>
      </c>
      <c r="G1071" s="118"/>
    </row>
    <row r="1072">
      <c r="A1072" s="132">
        <v>1071.0</v>
      </c>
      <c r="B1072" s="132" t="s">
        <v>1034</v>
      </c>
      <c r="C1072" s="133" t="s">
        <v>1054</v>
      </c>
      <c r="D1072" s="133" t="s">
        <v>62</v>
      </c>
      <c r="E1072" s="116"/>
      <c r="F1072" s="135">
        <v>0.137</v>
      </c>
      <c r="G1072" s="118"/>
    </row>
    <row r="1073">
      <c r="A1073" s="132">
        <v>1072.0</v>
      </c>
      <c r="B1073" s="132" t="s">
        <v>1034</v>
      </c>
      <c r="C1073" s="133" t="s">
        <v>1059</v>
      </c>
      <c r="D1073" s="133" t="s">
        <v>1060</v>
      </c>
      <c r="E1073" s="116"/>
      <c r="F1073" s="135">
        <v>0.137</v>
      </c>
      <c r="G1073" s="118"/>
    </row>
    <row r="1074">
      <c r="A1074" s="132">
        <v>1073.0</v>
      </c>
      <c r="B1074" s="132" t="s">
        <v>1034</v>
      </c>
      <c r="C1074" s="133" t="s">
        <v>1059</v>
      </c>
      <c r="D1074" s="133" t="s">
        <v>1061</v>
      </c>
      <c r="E1074" s="116"/>
      <c r="F1074" s="135">
        <v>0.137</v>
      </c>
      <c r="G1074" s="118"/>
    </row>
    <row r="1075">
      <c r="A1075" s="132">
        <v>1074.0</v>
      </c>
      <c r="B1075" s="132" t="s">
        <v>1034</v>
      </c>
      <c r="C1075" s="133" t="s">
        <v>1059</v>
      </c>
      <c r="D1075" s="133" t="s">
        <v>1062</v>
      </c>
      <c r="E1075" s="116"/>
      <c r="F1075" s="135">
        <v>0.137</v>
      </c>
      <c r="G1075" s="118"/>
    </row>
    <row r="1076">
      <c r="A1076" s="132">
        <v>1075.0</v>
      </c>
      <c r="B1076" s="132" t="s">
        <v>1034</v>
      </c>
      <c r="C1076" s="133" t="s">
        <v>1059</v>
      </c>
      <c r="D1076" s="133" t="s">
        <v>1063</v>
      </c>
      <c r="E1076" s="116"/>
      <c r="F1076" s="135">
        <v>0.137</v>
      </c>
      <c r="G1076" s="118"/>
    </row>
    <row r="1077">
      <c r="A1077" s="132">
        <v>1076.0</v>
      </c>
      <c r="B1077" s="132" t="s">
        <v>1034</v>
      </c>
      <c r="C1077" s="133" t="s">
        <v>1059</v>
      </c>
      <c r="D1077" s="133" t="s">
        <v>62</v>
      </c>
      <c r="E1077" s="116"/>
      <c r="F1077" s="135">
        <v>0.137</v>
      </c>
      <c r="G1077" s="118"/>
    </row>
    <row r="1078">
      <c r="A1078" s="132">
        <v>1077.0</v>
      </c>
      <c r="B1078" s="132" t="s">
        <v>1034</v>
      </c>
      <c r="C1078" s="133" t="s">
        <v>1059</v>
      </c>
      <c r="D1078" s="133" t="s">
        <v>1064</v>
      </c>
      <c r="E1078" s="116"/>
      <c r="F1078" s="135">
        <v>0.137</v>
      </c>
      <c r="G1078" s="118"/>
    </row>
    <row r="1079">
      <c r="A1079" s="132">
        <v>1078.0</v>
      </c>
      <c r="B1079" s="132" t="s">
        <v>1034</v>
      </c>
      <c r="C1079" s="133" t="s">
        <v>1059</v>
      </c>
      <c r="D1079" s="133" t="s">
        <v>1065</v>
      </c>
      <c r="E1079" s="116"/>
      <c r="F1079" s="135">
        <v>0.137</v>
      </c>
      <c r="G1079" s="118"/>
    </row>
    <row r="1080">
      <c r="A1080" s="132">
        <v>1079.0</v>
      </c>
      <c r="B1080" s="132" t="s">
        <v>1034</v>
      </c>
      <c r="C1080" s="133" t="s">
        <v>1059</v>
      </c>
      <c r="D1080" s="133" t="s">
        <v>1066</v>
      </c>
      <c r="E1080" s="116"/>
      <c r="F1080" s="135">
        <v>0.137</v>
      </c>
      <c r="G1080" s="118"/>
    </row>
    <row r="1081">
      <c r="A1081" s="132">
        <v>1080.0</v>
      </c>
      <c r="B1081" s="132" t="s">
        <v>1034</v>
      </c>
      <c r="C1081" s="133" t="s">
        <v>1059</v>
      </c>
      <c r="D1081" s="133" t="s">
        <v>1067</v>
      </c>
      <c r="E1081" s="116"/>
      <c r="F1081" s="135">
        <v>0.137</v>
      </c>
      <c r="G1081" s="118"/>
    </row>
    <row r="1082">
      <c r="A1082" s="132">
        <v>1081.0</v>
      </c>
      <c r="B1082" s="132" t="s">
        <v>1034</v>
      </c>
      <c r="C1082" s="133" t="s">
        <v>1059</v>
      </c>
      <c r="D1082" s="133" t="s">
        <v>1068</v>
      </c>
      <c r="E1082" s="116"/>
      <c r="F1082" s="135">
        <v>0.137</v>
      </c>
      <c r="G1082" s="118"/>
    </row>
    <row r="1083">
      <c r="A1083" s="132">
        <v>1082.0</v>
      </c>
      <c r="B1083" s="132" t="s">
        <v>1034</v>
      </c>
      <c r="C1083" s="133" t="s">
        <v>1069</v>
      </c>
      <c r="D1083" s="134"/>
      <c r="E1083" s="116"/>
      <c r="F1083" s="135">
        <v>0.137</v>
      </c>
      <c r="G1083" s="118"/>
    </row>
    <row r="1084">
      <c r="A1084" s="132">
        <v>1083.0</v>
      </c>
      <c r="B1084" s="132" t="s">
        <v>1070</v>
      </c>
      <c r="C1084" s="133" t="s">
        <v>1071</v>
      </c>
      <c r="D1084" s="133" t="s">
        <v>1072</v>
      </c>
      <c r="E1084" s="116"/>
      <c r="F1084" s="135">
        <v>0.142</v>
      </c>
      <c r="G1084" s="118"/>
    </row>
    <row r="1085">
      <c r="A1085" s="132">
        <v>1084.0</v>
      </c>
      <c r="B1085" s="132" t="s">
        <v>1070</v>
      </c>
      <c r="C1085" s="133" t="s">
        <v>1071</v>
      </c>
      <c r="D1085" s="133" t="s">
        <v>1073</v>
      </c>
      <c r="E1085" s="116"/>
      <c r="F1085" s="135">
        <v>0.142</v>
      </c>
      <c r="G1085" s="118"/>
    </row>
    <row r="1086">
      <c r="A1086" s="132">
        <v>1085.0</v>
      </c>
      <c r="B1086" s="132" t="s">
        <v>1070</v>
      </c>
      <c r="C1086" s="133" t="s">
        <v>1071</v>
      </c>
      <c r="D1086" s="133" t="s">
        <v>1074</v>
      </c>
      <c r="E1086" s="116"/>
      <c r="F1086" s="135">
        <v>0.115</v>
      </c>
      <c r="G1086" s="118"/>
    </row>
    <row r="1087">
      <c r="A1087" s="132">
        <v>1086.0</v>
      </c>
      <c r="B1087" s="132" t="s">
        <v>1070</v>
      </c>
      <c r="C1087" s="133" t="s">
        <v>1071</v>
      </c>
      <c r="D1087" s="133" t="s">
        <v>62</v>
      </c>
      <c r="E1087" s="116"/>
      <c r="F1087" s="135">
        <v>0.142</v>
      </c>
      <c r="G1087" s="118"/>
    </row>
    <row r="1088">
      <c r="A1088" s="132">
        <v>1087.0</v>
      </c>
      <c r="B1088" s="132" t="s">
        <v>1070</v>
      </c>
      <c r="C1088" s="133" t="s">
        <v>1071</v>
      </c>
      <c r="D1088" s="133" t="s">
        <v>1075</v>
      </c>
      <c r="E1088" s="116"/>
      <c r="F1088" s="135">
        <v>0.142</v>
      </c>
      <c r="G1088" s="118"/>
    </row>
    <row r="1089">
      <c r="A1089" s="132">
        <v>1088.0</v>
      </c>
      <c r="B1089" s="132" t="s">
        <v>1070</v>
      </c>
      <c r="C1089" s="133" t="s">
        <v>1071</v>
      </c>
      <c r="D1089" s="133" t="s">
        <v>1076</v>
      </c>
      <c r="E1089" s="116"/>
      <c r="F1089" s="135">
        <v>0.142</v>
      </c>
      <c r="G1089" s="118"/>
    </row>
    <row r="1090">
      <c r="A1090" s="132">
        <v>1089.0</v>
      </c>
      <c r="B1090" s="132" t="s">
        <v>1070</v>
      </c>
      <c r="C1090" s="133" t="s">
        <v>1071</v>
      </c>
      <c r="D1090" s="133" t="s">
        <v>1077</v>
      </c>
      <c r="E1090" s="116"/>
      <c r="F1090" s="135">
        <v>0.142</v>
      </c>
      <c r="G1090" s="118"/>
    </row>
    <row r="1091">
      <c r="A1091" s="132">
        <v>1090.0</v>
      </c>
      <c r="B1091" s="132" t="s">
        <v>1070</v>
      </c>
      <c r="C1091" s="133" t="s">
        <v>1071</v>
      </c>
      <c r="D1091" s="133" t="s">
        <v>1078</v>
      </c>
      <c r="E1091" s="116"/>
      <c r="F1091" s="135">
        <v>0.142</v>
      </c>
      <c r="G1091" s="118"/>
    </row>
    <row r="1092">
      <c r="A1092" s="132">
        <v>1091.0</v>
      </c>
      <c r="B1092" s="132" t="s">
        <v>1070</v>
      </c>
      <c r="C1092" s="133" t="s">
        <v>1071</v>
      </c>
      <c r="D1092" s="133" t="s">
        <v>1079</v>
      </c>
      <c r="E1092" s="116"/>
      <c r="F1092" s="135">
        <v>0.142</v>
      </c>
      <c r="G1092" s="118"/>
    </row>
    <row r="1093">
      <c r="A1093" s="132">
        <v>1092.0</v>
      </c>
      <c r="B1093" s="132" t="s">
        <v>1070</v>
      </c>
      <c r="C1093" s="133" t="s">
        <v>1071</v>
      </c>
      <c r="D1093" s="133" t="s">
        <v>1080</v>
      </c>
      <c r="E1093" s="116"/>
      <c r="F1093" s="135">
        <v>0.142</v>
      </c>
      <c r="G1093" s="118"/>
    </row>
    <row r="1094">
      <c r="A1094" s="132">
        <v>1093.0</v>
      </c>
      <c r="B1094" s="132" t="s">
        <v>1070</v>
      </c>
      <c r="C1094" s="133" t="s">
        <v>1071</v>
      </c>
      <c r="D1094" s="133" t="s">
        <v>1081</v>
      </c>
      <c r="E1094" s="116"/>
      <c r="F1094" s="135">
        <v>0.115</v>
      </c>
      <c r="G1094" s="118"/>
    </row>
    <row r="1095">
      <c r="A1095" s="132">
        <v>1094.0</v>
      </c>
      <c r="B1095" s="132" t="s">
        <v>1070</v>
      </c>
      <c r="C1095" s="133" t="s">
        <v>1071</v>
      </c>
      <c r="D1095" s="133" t="s">
        <v>1082</v>
      </c>
      <c r="E1095" s="116"/>
      <c r="F1095" s="135">
        <v>0.142</v>
      </c>
      <c r="G1095" s="118"/>
    </row>
    <row r="1096">
      <c r="A1096" s="132">
        <v>1095.0</v>
      </c>
      <c r="B1096" s="132" t="s">
        <v>1070</v>
      </c>
      <c r="C1096" s="133" t="s">
        <v>1071</v>
      </c>
      <c r="D1096" s="133" t="s">
        <v>1083</v>
      </c>
      <c r="E1096" s="116"/>
      <c r="F1096" s="135">
        <v>0.142</v>
      </c>
      <c r="G1096" s="118"/>
    </row>
    <row r="1097">
      <c r="A1097" s="132">
        <v>1096.0</v>
      </c>
      <c r="B1097" s="132" t="s">
        <v>1070</v>
      </c>
      <c r="C1097" s="133" t="s">
        <v>1084</v>
      </c>
      <c r="D1097" s="133" t="s">
        <v>1085</v>
      </c>
      <c r="E1097" s="116"/>
      <c r="F1097" s="135">
        <v>0.137</v>
      </c>
      <c r="G1097" s="118"/>
    </row>
    <row r="1098">
      <c r="A1098" s="132">
        <v>1097.0</v>
      </c>
      <c r="B1098" s="132" t="s">
        <v>1070</v>
      </c>
      <c r="C1098" s="133" t="s">
        <v>1084</v>
      </c>
      <c r="D1098" s="133" t="s">
        <v>1086</v>
      </c>
      <c r="E1098" s="116"/>
      <c r="F1098" s="135">
        <v>0.137</v>
      </c>
      <c r="G1098" s="118"/>
    </row>
    <row r="1099">
      <c r="A1099" s="132">
        <v>1098.0</v>
      </c>
      <c r="B1099" s="132" t="s">
        <v>1070</v>
      </c>
      <c r="C1099" s="133" t="s">
        <v>1084</v>
      </c>
      <c r="D1099" s="133" t="s">
        <v>1087</v>
      </c>
      <c r="E1099" s="116"/>
      <c r="F1099" s="135">
        <v>0.142</v>
      </c>
      <c r="G1099" s="118"/>
    </row>
    <row r="1100">
      <c r="A1100" s="132">
        <v>1099.0</v>
      </c>
      <c r="B1100" s="132" t="s">
        <v>1070</v>
      </c>
      <c r="C1100" s="133" t="s">
        <v>1084</v>
      </c>
      <c r="D1100" s="133" t="s">
        <v>1088</v>
      </c>
      <c r="E1100" s="116"/>
      <c r="F1100" s="135">
        <v>0.142</v>
      </c>
      <c r="G1100" s="118"/>
    </row>
    <row r="1101">
      <c r="A1101" s="132">
        <v>1100.0</v>
      </c>
      <c r="B1101" s="132" t="s">
        <v>1070</v>
      </c>
      <c r="C1101" s="133" t="s">
        <v>1084</v>
      </c>
      <c r="D1101" s="133" t="s">
        <v>1089</v>
      </c>
      <c r="E1101" s="116"/>
      <c r="F1101" s="135">
        <v>0.137</v>
      </c>
      <c r="G1101" s="118"/>
    </row>
    <row r="1102">
      <c r="A1102" s="132">
        <v>1101.0</v>
      </c>
      <c r="B1102" s="132" t="s">
        <v>1070</v>
      </c>
      <c r="C1102" s="133" t="s">
        <v>1084</v>
      </c>
      <c r="D1102" s="133" t="s">
        <v>1090</v>
      </c>
      <c r="E1102" s="116"/>
      <c r="F1102" s="135">
        <v>0.085</v>
      </c>
      <c r="G1102" s="118"/>
    </row>
    <row r="1103">
      <c r="A1103" s="132">
        <v>1102.0</v>
      </c>
      <c r="B1103" s="132" t="s">
        <v>1070</v>
      </c>
      <c r="C1103" s="133" t="s">
        <v>1084</v>
      </c>
      <c r="D1103" s="133" t="s">
        <v>1091</v>
      </c>
      <c r="E1103" s="116"/>
      <c r="F1103" s="135">
        <v>0.137</v>
      </c>
      <c r="G1103" s="118"/>
    </row>
    <row r="1104">
      <c r="A1104" s="132">
        <v>1103.0</v>
      </c>
      <c r="B1104" s="132" t="s">
        <v>1070</v>
      </c>
      <c r="C1104" s="133" t="s">
        <v>1084</v>
      </c>
      <c r="D1104" s="133" t="s">
        <v>62</v>
      </c>
      <c r="E1104" s="116"/>
      <c r="F1104" s="135">
        <v>0.142</v>
      </c>
      <c r="G1104" s="118"/>
    </row>
    <row r="1105">
      <c r="A1105" s="132">
        <v>1104.0</v>
      </c>
      <c r="B1105" s="132" t="s">
        <v>1070</v>
      </c>
      <c r="C1105" s="133" t="s">
        <v>1084</v>
      </c>
      <c r="D1105" s="133" t="s">
        <v>1092</v>
      </c>
      <c r="E1105" s="116"/>
      <c r="F1105" s="135">
        <v>0.142</v>
      </c>
      <c r="G1105" s="118"/>
    </row>
    <row r="1106">
      <c r="A1106" s="132">
        <v>1105.0</v>
      </c>
      <c r="B1106" s="132" t="s">
        <v>1070</v>
      </c>
      <c r="C1106" s="133" t="s">
        <v>1093</v>
      </c>
      <c r="D1106" s="133" t="s">
        <v>1094</v>
      </c>
      <c r="E1106" s="116"/>
      <c r="F1106" s="135">
        <v>0.142</v>
      </c>
      <c r="G1106" s="118"/>
    </row>
    <row r="1107">
      <c r="A1107" s="132">
        <v>1106.0</v>
      </c>
      <c r="B1107" s="132" t="s">
        <v>1070</v>
      </c>
      <c r="C1107" s="133" t="s">
        <v>1093</v>
      </c>
      <c r="D1107" s="133" t="s">
        <v>1095</v>
      </c>
      <c r="E1107" s="116"/>
      <c r="F1107" s="135">
        <v>0.142</v>
      </c>
      <c r="G1107" s="118"/>
    </row>
    <row r="1108">
      <c r="A1108" s="132">
        <v>1107.0</v>
      </c>
      <c r="B1108" s="132" t="s">
        <v>1070</v>
      </c>
      <c r="C1108" s="133" t="s">
        <v>1093</v>
      </c>
      <c r="D1108" s="133" t="s">
        <v>332</v>
      </c>
      <c r="E1108" s="116"/>
      <c r="F1108" s="135">
        <v>0.142</v>
      </c>
      <c r="G1108" s="118"/>
    </row>
    <row r="1109">
      <c r="A1109" s="132">
        <v>1108.0</v>
      </c>
      <c r="B1109" s="132" t="s">
        <v>1070</v>
      </c>
      <c r="C1109" s="133" t="s">
        <v>1093</v>
      </c>
      <c r="D1109" s="133" t="s">
        <v>1096</v>
      </c>
      <c r="E1109" s="116"/>
      <c r="F1109" s="135">
        <v>0.142</v>
      </c>
      <c r="G1109" s="118"/>
    </row>
    <row r="1110">
      <c r="A1110" s="132">
        <v>1109.0</v>
      </c>
      <c r="B1110" s="132" t="s">
        <v>1070</v>
      </c>
      <c r="C1110" s="133" t="s">
        <v>1093</v>
      </c>
      <c r="D1110" s="133" t="s">
        <v>1097</v>
      </c>
      <c r="E1110" s="116"/>
      <c r="F1110" s="135">
        <v>0.142</v>
      </c>
      <c r="G1110" s="118"/>
    </row>
    <row r="1111">
      <c r="A1111" s="132">
        <v>1110.0</v>
      </c>
      <c r="B1111" s="132" t="s">
        <v>1070</v>
      </c>
      <c r="C1111" s="133" t="s">
        <v>1093</v>
      </c>
      <c r="D1111" s="133" t="s">
        <v>1098</v>
      </c>
      <c r="E1111" s="116"/>
      <c r="F1111" s="135">
        <v>0.142</v>
      </c>
      <c r="G1111" s="118"/>
    </row>
    <row r="1112">
      <c r="A1112" s="132">
        <v>1111.0</v>
      </c>
      <c r="B1112" s="132" t="s">
        <v>1070</v>
      </c>
      <c r="C1112" s="133" t="s">
        <v>1093</v>
      </c>
      <c r="D1112" s="133" t="s">
        <v>1099</v>
      </c>
      <c r="E1112" s="116"/>
      <c r="F1112" s="135">
        <v>0.142</v>
      </c>
      <c r="G1112" s="118"/>
    </row>
    <row r="1113">
      <c r="A1113" s="132">
        <v>1112.0</v>
      </c>
      <c r="B1113" s="132" t="s">
        <v>1070</v>
      </c>
      <c r="C1113" s="133" t="s">
        <v>1093</v>
      </c>
      <c r="D1113" s="133" t="s">
        <v>1100</v>
      </c>
      <c r="E1113" s="116"/>
      <c r="F1113" s="135">
        <v>0.137</v>
      </c>
      <c r="G1113" s="118"/>
    </row>
    <row r="1114">
      <c r="A1114" s="132">
        <v>1113.0</v>
      </c>
      <c r="B1114" s="132" t="s">
        <v>1070</v>
      </c>
      <c r="C1114" s="133" t="s">
        <v>1093</v>
      </c>
      <c r="D1114" s="133" t="s">
        <v>62</v>
      </c>
      <c r="E1114" s="116"/>
      <c r="F1114" s="135">
        <v>0.142</v>
      </c>
      <c r="G1114" s="118"/>
    </row>
    <row r="1115">
      <c r="A1115" s="132">
        <v>1114.0</v>
      </c>
      <c r="B1115" s="132" t="s">
        <v>1070</v>
      </c>
      <c r="C1115" s="133" t="s">
        <v>1093</v>
      </c>
      <c r="D1115" s="133" t="s">
        <v>1101</v>
      </c>
      <c r="E1115" s="116"/>
      <c r="F1115" s="135">
        <v>0.142</v>
      </c>
      <c r="G1115" s="118"/>
    </row>
    <row r="1116">
      <c r="A1116" s="132">
        <v>1115.0</v>
      </c>
      <c r="B1116" s="132" t="s">
        <v>1070</v>
      </c>
      <c r="C1116" s="133" t="s">
        <v>1093</v>
      </c>
      <c r="D1116" s="133" t="s">
        <v>1102</v>
      </c>
      <c r="E1116" s="116"/>
      <c r="F1116" s="135">
        <v>0.142</v>
      </c>
      <c r="G1116" s="118"/>
    </row>
    <row r="1117">
      <c r="A1117" s="132">
        <v>1116.0</v>
      </c>
      <c r="B1117" s="132" t="s">
        <v>1070</v>
      </c>
      <c r="C1117" s="133" t="s">
        <v>1093</v>
      </c>
      <c r="D1117" s="133" t="s">
        <v>1103</v>
      </c>
      <c r="E1117" s="116"/>
      <c r="F1117" s="135">
        <v>0.142</v>
      </c>
      <c r="G1117" s="118"/>
    </row>
    <row r="1118">
      <c r="A1118" s="132">
        <v>1117.0</v>
      </c>
      <c r="B1118" s="132" t="s">
        <v>1070</v>
      </c>
      <c r="C1118" s="133" t="s">
        <v>1093</v>
      </c>
      <c r="D1118" s="133" t="s">
        <v>1104</v>
      </c>
      <c r="E1118" s="116"/>
      <c r="F1118" s="135">
        <v>0.142</v>
      </c>
      <c r="G1118" s="118"/>
    </row>
    <row r="1119">
      <c r="A1119" s="132">
        <v>1118.0</v>
      </c>
      <c r="B1119" s="132" t="s">
        <v>1070</v>
      </c>
      <c r="C1119" s="133" t="s">
        <v>1105</v>
      </c>
      <c r="D1119" s="133" t="s">
        <v>1106</v>
      </c>
      <c r="E1119" s="116"/>
      <c r="F1119" s="135">
        <v>0.142</v>
      </c>
      <c r="G1119" s="118"/>
    </row>
    <row r="1120">
      <c r="A1120" s="132">
        <v>1119.0</v>
      </c>
      <c r="B1120" s="132" t="s">
        <v>1070</v>
      </c>
      <c r="C1120" s="133" t="s">
        <v>1105</v>
      </c>
      <c r="D1120" s="133" t="s">
        <v>1107</v>
      </c>
      <c r="E1120" s="116"/>
      <c r="F1120" s="135">
        <v>0.137</v>
      </c>
      <c r="G1120" s="118"/>
    </row>
    <row r="1121">
      <c r="A1121" s="132">
        <v>1120.0</v>
      </c>
      <c r="B1121" s="132" t="s">
        <v>1070</v>
      </c>
      <c r="C1121" s="133" t="s">
        <v>1105</v>
      </c>
      <c r="D1121" s="133" t="s">
        <v>1108</v>
      </c>
      <c r="E1121" s="116"/>
      <c r="F1121" s="135">
        <v>0.142</v>
      </c>
      <c r="G1121" s="118"/>
    </row>
    <row r="1122">
      <c r="A1122" s="132">
        <v>1121.0</v>
      </c>
      <c r="B1122" s="132" t="s">
        <v>1070</v>
      </c>
      <c r="C1122" s="133" t="s">
        <v>1105</v>
      </c>
      <c r="D1122" s="133" t="s">
        <v>1109</v>
      </c>
      <c r="E1122" s="116"/>
      <c r="F1122" s="135">
        <v>0.142</v>
      </c>
      <c r="G1122" s="118"/>
    </row>
    <row r="1123">
      <c r="A1123" s="132">
        <v>1122.0</v>
      </c>
      <c r="B1123" s="132" t="s">
        <v>1070</v>
      </c>
      <c r="C1123" s="133" t="s">
        <v>1105</v>
      </c>
      <c r="D1123" s="133" t="s">
        <v>1110</v>
      </c>
      <c r="E1123" s="116"/>
      <c r="F1123" s="135">
        <v>0.142</v>
      </c>
      <c r="G1123" s="118"/>
    </row>
    <row r="1124">
      <c r="A1124" s="132">
        <v>1123.0</v>
      </c>
      <c r="B1124" s="132" t="s">
        <v>1070</v>
      </c>
      <c r="C1124" s="133" t="s">
        <v>1105</v>
      </c>
      <c r="D1124" s="133" t="s">
        <v>62</v>
      </c>
      <c r="E1124" s="116"/>
      <c r="F1124" s="135">
        <v>0.142</v>
      </c>
      <c r="G1124" s="118"/>
    </row>
    <row r="1125">
      <c r="A1125" s="132">
        <v>1124.0</v>
      </c>
      <c r="B1125" s="132" t="s">
        <v>1070</v>
      </c>
      <c r="C1125" s="133" t="s">
        <v>1105</v>
      </c>
      <c r="D1125" s="133" t="s">
        <v>1111</v>
      </c>
      <c r="E1125" s="116"/>
      <c r="F1125" s="135">
        <v>0.142</v>
      </c>
      <c r="G1125" s="118"/>
    </row>
    <row r="1126">
      <c r="A1126" s="132">
        <v>1125.0</v>
      </c>
      <c r="B1126" s="132" t="s">
        <v>1070</v>
      </c>
      <c r="C1126" s="133" t="s">
        <v>1105</v>
      </c>
      <c r="D1126" s="133" t="s">
        <v>1112</v>
      </c>
      <c r="E1126" s="116"/>
      <c r="F1126" s="135">
        <v>0.142</v>
      </c>
      <c r="G1126" s="118"/>
    </row>
    <row r="1127">
      <c r="A1127" s="132">
        <v>1126.0</v>
      </c>
      <c r="B1127" s="132" t="s">
        <v>1070</v>
      </c>
      <c r="C1127" s="133" t="s">
        <v>1105</v>
      </c>
      <c r="D1127" s="133" t="s">
        <v>1113</v>
      </c>
      <c r="E1127" s="116"/>
      <c r="F1127" s="135">
        <v>0.142</v>
      </c>
      <c r="G1127" s="118"/>
    </row>
    <row r="1128">
      <c r="A1128" s="132">
        <v>1127.0</v>
      </c>
      <c r="B1128" s="132" t="s">
        <v>1070</v>
      </c>
      <c r="C1128" s="133" t="s">
        <v>1105</v>
      </c>
      <c r="D1128" s="133" t="s">
        <v>1114</v>
      </c>
      <c r="E1128" s="116"/>
      <c r="F1128" s="135">
        <v>0.137</v>
      </c>
      <c r="G1128" s="118"/>
    </row>
    <row r="1129">
      <c r="A1129" s="132">
        <v>1128.0</v>
      </c>
      <c r="B1129" s="132" t="s">
        <v>1070</v>
      </c>
      <c r="C1129" s="133" t="s">
        <v>1105</v>
      </c>
      <c r="D1129" s="133" t="s">
        <v>1115</v>
      </c>
      <c r="E1129" s="116"/>
      <c r="F1129" s="135">
        <v>0.142</v>
      </c>
      <c r="G1129" s="118"/>
    </row>
    <row r="1130">
      <c r="A1130" s="132">
        <v>1129.0</v>
      </c>
      <c r="B1130" s="132" t="s">
        <v>1070</v>
      </c>
      <c r="C1130" s="133" t="s">
        <v>1116</v>
      </c>
      <c r="D1130" s="134"/>
      <c r="E1130" s="116"/>
      <c r="F1130" s="135">
        <v>0.142</v>
      </c>
      <c r="G1130" s="118"/>
    </row>
    <row r="1131">
      <c r="A1131" s="132">
        <v>1130.0</v>
      </c>
      <c r="B1131" s="132" t="s">
        <v>1070</v>
      </c>
      <c r="C1131" s="133" t="s">
        <v>1117</v>
      </c>
      <c r="D1131" s="133" t="s">
        <v>1118</v>
      </c>
      <c r="E1131" s="116"/>
      <c r="F1131" s="135">
        <v>0.115</v>
      </c>
      <c r="G1131" s="118"/>
    </row>
    <row r="1132">
      <c r="A1132" s="132">
        <v>1131.0</v>
      </c>
      <c r="B1132" s="132" t="s">
        <v>1070</v>
      </c>
      <c r="C1132" s="133" t="s">
        <v>1117</v>
      </c>
      <c r="D1132" s="133" t="s">
        <v>1119</v>
      </c>
      <c r="E1132" s="116"/>
      <c r="F1132" s="135">
        <v>0.115</v>
      </c>
      <c r="G1132" s="118"/>
    </row>
    <row r="1133">
      <c r="A1133" s="132">
        <v>1132.0</v>
      </c>
      <c r="B1133" s="132" t="s">
        <v>1070</v>
      </c>
      <c r="C1133" s="133" t="s">
        <v>1117</v>
      </c>
      <c r="D1133" s="133" t="s">
        <v>1120</v>
      </c>
      <c r="E1133" s="116"/>
      <c r="F1133" s="135">
        <v>0.115</v>
      </c>
      <c r="G1133" s="118"/>
    </row>
    <row r="1134">
      <c r="A1134" s="132">
        <v>1133.0</v>
      </c>
      <c r="B1134" s="132" t="s">
        <v>1070</v>
      </c>
      <c r="C1134" s="133" t="s">
        <v>1117</v>
      </c>
      <c r="D1134" s="133" t="s">
        <v>1121</v>
      </c>
      <c r="E1134" s="116"/>
      <c r="F1134" s="135">
        <v>0.142</v>
      </c>
      <c r="G1134" s="118"/>
    </row>
    <row r="1135">
      <c r="A1135" s="132">
        <v>1134.0</v>
      </c>
      <c r="B1135" s="132" t="s">
        <v>1070</v>
      </c>
      <c r="C1135" s="133" t="s">
        <v>1117</v>
      </c>
      <c r="D1135" s="133" t="s">
        <v>1122</v>
      </c>
      <c r="E1135" s="116"/>
      <c r="F1135" s="135">
        <v>0.115</v>
      </c>
      <c r="G1135" s="118"/>
    </row>
    <row r="1136">
      <c r="A1136" s="132">
        <v>1135.0</v>
      </c>
      <c r="B1136" s="132" t="s">
        <v>1070</v>
      </c>
      <c r="C1136" s="133" t="s">
        <v>1117</v>
      </c>
      <c r="D1136" s="133" t="s">
        <v>1123</v>
      </c>
      <c r="E1136" s="116"/>
      <c r="F1136" s="135">
        <v>0.142</v>
      </c>
      <c r="G1136" s="118"/>
    </row>
    <row r="1137">
      <c r="A1137" s="132">
        <v>1136.0</v>
      </c>
      <c r="B1137" s="132" t="s">
        <v>1070</v>
      </c>
      <c r="C1137" s="133" t="s">
        <v>1117</v>
      </c>
      <c r="D1137" s="133" t="s">
        <v>62</v>
      </c>
      <c r="E1137" s="116"/>
      <c r="F1137" s="135">
        <v>0.115</v>
      </c>
      <c r="G1137" s="118"/>
    </row>
    <row r="1138">
      <c r="A1138" s="132">
        <v>1137.0</v>
      </c>
      <c r="B1138" s="132" t="s">
        <v>1070</v>
      </c>
      <c r="C1138" s="133" t="s">
        <v>1117</v>
      </c>
      <c r="D1138" s="133" t="s">
        <v>1124</v>
      </c>
      <c r="E1138" s="116"/>
      <c r="F1138" s="135">
        <v>0.142</v>
      </c>
      <c r="G1138" s="118"/>
    </row>
    <row r="1139">
      <c r="A1139" s="132">
        <v>1138.0</v>
      </c>
      <c r="B1139" s="132" t="s">
        <v>1070</v>
      </c>
      <c r="C1139" s="133" t="s">
        <v>1117</v>
      </c>
      <c r="D1139" s="133" t="s">
        <v>1125</v>
      </c>
      <c r="E1139" s="116"/>
      <c r="F1139" s="135">
        <v>0.115</v>
      </c>
      <c r="G1139" s="118"/>
    </row>
    <row r="1140">
      <c r="A1140" s="132">
        <v>1139.0</v>
      </c>
      <c r="B1140" s="132" t="s">
        <v>1070</v>
      </c>
      <c r="C1140" s="133" t="s">
        <v>1117</v>
      </c>
      <c r="D1140" s="133" t="s">
        <v>1126</v>
      </c>
      <c r="E1140" s="116"/>
      <c r="F1140" s="135">
        <v>0.115</v>
      </c>
      <c r="G1140" s="118"/>
    </row>
    <row r="1141">
      <c r="A1141" s="132">
        <v>1140.0</v>
      </c>
      <c r="B1141" s="132" t="s">
        <v>1070</v>
      </c>
      <c r="C1141" s="133" t="s">
        <v>1127</v>
      </c>
      <c r="D1141" s="133" t="s">
        <v>1128</v>
      </c>
      <c r="E1141" s="116"/>
      <c r="F1141" s="135">
        <v>0.137</v>
      </c>
      <c r="G1141" s="118"/>
    </row>
    <row r="1142">
      <c r="A1142" s="132">
        <v>1141.0</v>
      </c>
      <c r="B1142" s="132" t="s">
        <v>1070</v>
      </c>
      <c r="C1142" s="133" t="s">
        <v>1127</v>
      </c>
      <c r="D1142" s="133" t="s">
        <v>1129</v>
      </c>
      <c r="E1142" s="116"/>
      <c r="F1142" s="135">
        <v>0.137</v>
      </c>
      <c r="G1142" s="118"/>
    </row>
    <row r="1143">
      <c r="A1143" s="132">
        <v>1142.0</v>
      </c>
      <c r="B1143" s="132" t="s">
        <v>1070</v>
      </c>
      <c r="C1143" s="133" t="s">
        <v>1127</v>
      </c>
      <c r="D1143" s="133" t="s">
        <v>1130</v>
      </c>
      <c r="E1143" s="116"/>
      <c r="F1143" s="135">
        <v>0.137</v>
      </c>
      <c r="G1143" s="118"/>
    </row>
    <row r="1144">
      <c r="A1144" s="132">
        <v>1143.0</v>
      </c>
      <c r="B1144" s="132" t="s">
        <v>1070</v>
      </c>
      <c r="C1144" s="133" t="s">
        <v>1127</v>
      </c>
      <c r="D1144" s="133" t="s">
        <v>1131</v>
      </c>
      <c r="E1144" s="116"/>
      <c r="F1144" s="135">
        <v>0.137</v>
      </c>
      <c r="G1144" s="118"/>
    </row>
    <row r="1145">
      <c r="A1145" s="132">
        <v>1144.0</v>
      </c>
      <c r="B1145" s="132" t="s">
        <v>1070</v>
      </c>
      <c r="C1145" s="133" t="s">
        <v>1127</v>
      </c>
      <c r="D1145" s="133" t="s">
        <v>1132</v>
      </c>
      <c r="E1145" s="116"/>
      <c r="F1145" s="135">
        <v>0.137</v>
      </c>
      <c r="G1145" s="118"/>
    </row>
    <row r="1146">
      <c r="A1146" s="132">
        <v>1145.0</v>
      </c>
      <c r="B1146" s="132" t="s">
        <v>1070</v>
      </c>
      <c r="C1146" s="133" t="s">
        <v>1127</v>
      </c>
      <c r="D1146" s="133" t="s">
        <v>1133</v>
      </c>
      <c r="E1146" s="116"/>
      <c r="F1146" s="135">
        <v>0.137</v>
      </c>
      <c r="G1146" s="118"/>
    </row>
    <row r="1147">
      <c r="A1147" s="132">
        <v>1146.0</v>
      </c>
      <c r="B1147" s="132" t="s">
        <v>1070</v>
      </c>
      <c r="C1147" s="133" t="s">
        <v>1127</v>
      </c>
      <c r="D1147" s="133" t="s">
        <v>62</v>
      </c>
      <c r="E1147" s="116"/>
      <c r="F1147" s="135">
        <v>0.137</v>
      </c>
      <c r="G1147" s="118"/>
    </row>
    <row r="1148">
      <c r="A1148" s="132">
        <v>1147.0</v>
      </c>
      <c r="B1148" s="132" t="s">
        <v>1070</v>
      </c>
      <c r="C1148" s="133" t="s">
        <v>1127</v>
      </c>
      <c r="D1148" s="133" t="s">
        <v>1134</v>
      </c>
      <c r="E1148" s="116"/>
      <c r="F1148" s="135">
        <v>0.137</v>
      </c>
      <c r="G1148" s="118"/>
    </row>
    <row r="1149">
      <c r="A1149" s="132">
        <v>1148.0</v>
      </c>
      <c r="B1149" s="132" t="s">
        <v>1070</v>
      </c>
      <c r="C1149" s="133" t="s">
        <v>1127</v>
      </c>
      <c r="D1149" s="133" t="s">
        <v>1135</v>
      </c>
      <c r="E1149" s="116"/>
      <c r="F1149" s="135">
        <v>0.137</v>
      </c>
      <c r="G1149" s="118"/>
    </row>
    <row r="1150">
      <c r="A1150" s="132">
        <v>1149.0</v>
      </c>
      <c r="B1150" s="132" t="s">
        <v>1070</v>
      </c>
      <c r="C1150" s="133" t="s">
        <v>1127</v>
      </c>
      <c r="D1150" s="133" t="s">
        <v>1136</v>
      </c>
      <c r="E1150" s="116"/>
      <c r="F1150" s="135">
        <v>0.137</v>
      </c>
      <c r="G1150" s="118"/>
    </row>
    <row r="1151">
      <c r="A1151" s="132">
        <v>1150.0</v>
      </c>
      <c r="B1151" s="132" t="s">
        <v>1070</v>
      </c>
      <c r="C1151" s="133" t="s">
        <v>1137</v>
      </c>
      <c r="D1151" s="134"/>
      <c r="E1151" s="116"/>
      <c r="F1151" s="135">
        <v>0.142</v>
      </c>
      <c r="G1151" s="118"/>
    </row>
    <row r="1152">
      <c r="A1152" s="132">
        <v>1151.0</v>
      </c>
      <c r="B1152" s="132" t="s">
        <v>1070</v>
      </c>
      <c r="C1152" s="133" t="s">
        <v>1138</v>
      </c>
      <c r="D1152" s="133" t="s">
        <v>1139</v>
      </c>
      <c r="E1152" s="116"/>
      <c r="F1152" s="135">
        <v>0.137</v>
      </c>
      <c r="G1152" s="118"/>
    </row>
    <row r="1153">
      <c r="A1153" s="132">
        <v>1152.0</v>
      </c>
      <c r="B1153" s="132" t="s">
        <v>1070</v>
      </c>
      <c r="C1153" s="133" t="s">
        <v>1138</v>
      </c>
      <c r="D1153" s="133" t="s">
        <v>1140</v>
      </c>
      <c r="E1153" s="116"/>
      <c r="F1153" s="135">
        <v>0.137</v>
      </c>
      <c r="G1153" s="118"/>
    </row>
    <row r="1154">
      <c r="A1154" s="132">
        <v>1153.0</v>
      </c>
      <c r="B1154" s="132" t="s">
        <v>1070</v>
      </c>
      <c r="C1154" s="133" t="s">
        <v>1138</v>
      </c>
      <c r="D1154" s="133" t="s">
        <v>1141</v>
      </c>
      <c r="E1154" s="116"/>
      <c r="F1154" s="135">
        <v>0.137</v>
      </c>
      <c r="G1154" s="118"/>
    </row>
    <row r="1155">
      <c r="A1155" s="132">
        <v>1154.0</v>
      </c>
      <c r="B1155" s="132" t="s">
        <v>1070</v>
      </c>
      <c r="C1155" s="133" t="s">
        <v>1138</v>
      </c>
      <c r="D1155" s="133" t="s">
        <v>1142</v>
      </c>
      <c r="E1155" s="116"/>
      <c r="F1155" s="135">
        <v>0.137</v>
      </c>
      <c r="G1155" s="118"/>
    </row>
    <row r="1156">
      <c r="A1156" s="132">
        <v>1155.0</v>
      </c>
      <c r="B1156" s="132" t="s">
        <v>1070</v>
      </c>
      <c r="C1156" s="133" t="s">
        <v>1138</v>
      </c>
      <c r="D1156" s="133" t="s">
        <v>1143</v>
      </c>
      <c r="E1156" s="116"/>
      <c r="F1156" s="135">
        <v>0.137</v>
      </c>
      <c r="G1156" s="118"/>
    </row>
    <row r="1157">
      <c r="A1157" s="132">
        <v>1156.0</v>
      </c>
      <c r="B1157" s="132" t="s">
        <v>1070</v>
      </c>
      <c r="C1157" s="133" t="s">
        <v>1138</v>
      </c>
      <c r="D1157" s="133" t="s">
        <v>1144</v>
      </c>
      <c r="E1157" s="116"/>
      <c r="F1157" s="135">
        <v>0.137</v>
      </c>
      <c r="G1157" s="118"/>
    </row>
    <row r="1158">
      <c r="A1158" s="132">
        <v>1157.0</v>
      </c>
      <c r="B1158" s="132" t="s">
        <v>1070</v>
      </c>
      <c r="C1158" s="133" t="s">
        <v>1138</v>
      </c>
      <c r="D1158" s="133" t="s">
        <v>1145</v>
      </c>
      <c r="E1158" s="116"/>
      <c r="F1158" s="135">
        <v>0.137</v>
      </c>
      <c r="G1158" s="118"/>
    </row>
    <row r="1159">
      <c r="A1159" s="132">
        <v>1158.0</v>
      </c>
      <c r="B1159" s="132" t="s">
        <v>1070</v>
      </c>
      <c r="C1159" s="133" t="s">
        <v>1138</v>
      </c>
      <c r="D1159" s="133" t="s">
        <v>1146</v>
      </c>
      <c r="E1159" s="116"/>
      <c r="F1159" s="135">
        <v>0.137</v>
      </c>
      <c r="G1159" s="118"/>
    </row>
    <row r="1160">
      <c r="A1160" s="132">
        <v>1159.0</v>
      </c>
      <c r="B1160" s="132" t="s">
        <v>1070</v>
      </c>
      <c r="C1160" s="133" t="s">
        <v>1138</v>
      </c>
      <c r="D1160" s="133" t="s">
        <v>1147</v>
      </c>
      <c r="E1160" s="116"/>
      <c r="F1160" s="135">
        <v>0.137</v>
      </c>
      <c r="G1160" s="118"/>
    </row>
    <row r="1161">
      <c r="A1161" s="132">
        <v>1160.0</v>
      </c>
      <c r="B1161" s="132" t="s">
        <v>1070</v>
      </c>
      <c r="C1161" s="133" t="s">
        <v>1138</v>
      </c>
      <c r="D1161" s="133" t="s">
        <v>62</v>
      </c>
      <c r="E1161" s="116"/>
      <c r="F1161" s="135">
        <v>0.137</v>
      </c>
      <c r="G1161" s="118"/>
    </row>
    <row r="1162">
      <c r="A1162" s="132">
        <v>1161.0</v>
      </c>
      <c r="B1162" s="132" t="s">
        <v>1070</v>
      </c>
      <c r="C1162" s="133" t="s">
        <v>1138</v>
      </c>
      <c r="D1162" s="133" t="s">
        <v>1148</v>
      </c>
      <c r="E1162" s="116"/>
      <c r="F1162" s="135">
        <v>0.137</v>
      </c>
      <c r="G1162" s="118"/>
    </row>
    <row r="1163">
      <c r="A1163" s="132">
        <v>1162.0</v>
      </c>
      <c r="B1163" s="132" t="s">
        <v>1070</v>
      </c>
      <c r="C1163" s="133" t="s">
        <v>1138</v>
      </c>
      <c r="D1163" s="133" t="s">
        <v>1149</v>
      </c>
      <c r="E1163" s="116"/>
      <c r="F1163" s="135">
        <v>0.137</v>
      </c>
      <c r="G1163" s="118"/>
    </row>
    <row r="1164">
      <c r="A1164" s="132">
        <v>1163.0</v>
      </c>
      <c r="B1164" s="132" t="s">
        <v>1070</v>
      </c>
      <c r="C1164" s="133" t="s">
        <v>1138</v>
      </c>
      <c r="D1164" s="133" t="s">
        <v>1150</v>
      </c>
      <c r="E1164" s="116"/>
      <c r="F1164" s="135">
        <v>0.137</v>
      </c>
      <c r="G1164" s="118"/>
    </row>
    <row r="1165">
      <c r="A1165" s="132">
        <v>1164.0</v>
      </c>
      <c r="B1165" s="132" t="s">
        <v>1070</v>
      </c>
      <c r="C1165" s="133" t="s">
        <v>1138</v>
      </c>
      <c r="D1165" s="133" t="s">
        <v>1151</v>
      </c>
      <c r="E1165" s="116"/>
      <c r="F1165" s="135">
        <v>0.115</v>
      </c>
      <c r="G1165" s="118"/>
    </row>
    <row r="1166">
      <c r="A1166" s="132">
        <v>1165.0</v>
      </c>
      <c r="B1166" s="132" t="s">
        <v>1070</v>
      </c>
      <c r="C1166" s="133" t="s">
        <v>1138</v>
      </c>
      <c r="D1166" s="133" t="s">
        <v>1152</v>
      </c>
      <c r="E1166" s="116"/>
      <c r="F1166" s="135">
        <v>0.137</v>
      </c>
      <c r="G1166" s="118"/>
    </row>
    <row r="1167">
      <c r="A1167" s="132">
        <v>1166.0</v>
      </c>
      <c r="B1167" s="132" t="s">
        <v>1070</v>
      </c>
      <c r="C1167" s="133" t="s">
        <v>1138</v>
      </c>
      <c r="D1167" s="133" t="s">
        <v>1153</v>
      </c>
      <c r="E1167" s="116"/>
      <c r="F1167" s="135">
        <v>0.137</v>
      </c>
      <c r="G1167" s="118"/>
    </row>
    <row r="1168">
      <c r="A1168" s="132">
        <v>1167.0</v>
      </c>
      <c r="B1168" s="132" t="s">
        <v>1070</v>
      </c>
      <c r="C1168" s="133" t="s">
        <v>1154</v>
      </c>
      <c r="D1168" s="133" t="s">
        <v>1155</v>
      </c>
      <c r="E1168" s="116"/>
      <c r="F1168" s="135">
        <v>0.142</v>
      </c>
      <c r="G1168" s="118"/>
    </row>
    <row r="1169">
      <c r="A1169" s="132">
        <v>1168.0</v>
      </c>
      <c r="B1169" s="132" t="s">
        <v>1070</v>
      </c>
      <c r="C1169" s="133" t="s">
        <v>1154</v>
      </c>
      <c r="D1169" s="133" t="s">
        <v>1156</v>
      </c>
      <c r="E1169" s="116"/>
      <c r="F1169" s="135">
        <v>0.142</v>
      </c>
      <c r="G1169" s="118"/>
    </row>
    <row r="1170">
      <c r="A1170" s="132">
        <v>1169.0</v>
      </c>
      <c r="B1170" s="132" t="s">
        <v>1070</v>
      </c>
      <c r="C1170" s="133" t="s">
        <v>1154</v>
      </c>
      <c r="D1170" s="133" t="s">
        <v>1157</v>
      </c>
      <c r="E1170" s="116"/>
      <c r="F1170" s="135">
        <v>0.142</v>
      </c>
      <c r="G1170" s="118"/>
    </row>
    <row r="1171">
      <c r="A1171" s="132">
        <v>1170.0</v>
      </c>
      <c r="B1171" s="132" t="s">
        <v>1070</v>
      </c>
      <c r="C1171" s="133" t="s">
        <v>1154</v>
      </c>
      <c r="D1171" s="133" t="s">
        <v>62</v>
      </c>
      <c r="E1171" s="116"/>
      <c r="F1171" s="135">
        <v>0.142</v>
      </c>
      <c r="G1171" s="118"/>
    </row>
    <row r="1172">
      <c r="A1172" s="132">
        <v>1171.0</v>
      </c>
      <c r="B1172" s="132" t="s">
        <v>1070</v>
      </c>
      <c r="C1172" s="133" t="s">
        <v>1158</v>
      </c>
      <c r="D1172" s="133" t="s">
        <v>1159</v>
      </c>
      <c r="E1172" s="116"/>
      <c r="F1172" s="135">
        <v>0.142</v>
      </c>
      <c r="G1172" s="118"/>
    </row>
    <row r="1173">
      <c r="A1173" s="132">
        <v>1172.0</v>
      </c>
      <c r="B1173" s="132" t="s">
        <v>1070</v>
      </c>
      <c r="C1173" s="133" t="s">
        <v>1158</v>
      </c>
      <c r="D1173" s="133" t="s">
        <v>1160</v>
      </c>
      <c r="E1173" s="116"/>
      <c r="F1173" s="135">
        <v>0.142</v>
      </c>
      <c r="G1173" s="118"/>
    </row>
    <row r="1174">
      <c r="A1174" s="132">
        <v>1173.0</v>
      </c>
      <c r="B1174" s="132" t="s">
        <v>1070</v>
      </c>
      <c r="C1174" s="133" t="s">
        <v>1158</v>
      </c>
      <c r="D1174" s="133" t="s">
        <v>1161</v>
      </c>
      <c r="E1174" s="116"/>
      <c r="F1174" s="135">
        <v>0.142</v>
      </c>
      <c r="G1174" s="118"/>
    </row>
    <row r="1175">
      <c r="A1175" s="132">
        <v>1174.0</v>
      </c>
      <c r="B1175" s="132" t="s">
        <v>1070</v>
      </c>
      <c r="C1175" s="133" t="s">
        <v>1158</v>
      </c>
      <c r="D1175" s="133" t="s">
        <v>1162</v>
      </c>
      <c r="E1175" s="116"/>
      <c r="F1175" s="135">
        <v>0.142</v>
      </c>
      <c r="G1175" s="118"/>
    </row>
    <row r="1176">
      <c r="A1176" s="132">
        <v>1175.0</v>
      </c>
      <c r="B1176" s="132" t="s">
        <v>1070</v>
      </c>
      <c r="C1176" s="133" t="s">
        <v>1158</v>
      </c>
      <c r="D1176" s="133" t="s">
        <v>1163</v>
      </c>
      <c r="E1176" s="116"/>
      <c r="F1176" s="135">
        <v>0.142</v>
      </c>
      <c r="G1176" s="118"/>
    </row>
    <row r="1177">
      <c r="A1177" s="132">
        <v>1176.0</v>
      </c>
      <c r="B1177" s="132" t="s">
        <v>1070</v>
      </c>
      <c r="C1177" s="133" t="s">
        <v>1158</v>
      </c>
      <c r="D1177" s="133" t="s">
        <v>62</v>
      </c>
      <c r="E1177" s="116"/>
      <c r="F1177" s="135">
        <v>0.142</v>
      </c>
      <c r="G1177" s="118"/>
    </row>
    <row r="1178">
      <c r="A1178" s="132">
        <v>1177.0</v>
      </c>
      <c r="B1178" s="132" t="s">
        <v>1070</v>
      </c>
      <c r="C1178" s="133" t="s">
        <v>1158</v>
      </c>
      <c r="D1178" s="133" t="s">
        <v>1164</v>
      </c>
      <c r="E1178" s="116"/>
      <c r="F1178" s="135">
        <v>0.142</v>
      </c>
      <c r="G1178" s="118"/>
    </row>
    <row r="1179">
      <c r="A1179" s="132">
        <v>1178.0</v>
      </c>
      <c r="B1179" s="132" t="s">
        <v>1070</v>
      </c>
      <c r="C1179" s="133" t="s">
        <v>1158</v>
      </c>
      <c r="D1179" s="133" t="s">
        <v>1165</v>
      </c>
      <c r="E1179" s="116"/>
      <c r="F1179" s="135">
        <v>0.142</v>
      </c>
      <c r="G1179" s="118"/>
    </row>
    <row r="1180">
      <c r="A1180" s="132">
        <v>1179.0</v>
      </c>
      <c r="B1180" s="132" t="s">
        <v>1070</v>
      </c>
      <c r="C1180" s="133" t="s">
        <v>1158</v>
      </c>
      <c r="D1180" s="133" t="s">
        <v>1166</v>
      </c>
      <c r="E1180" s="116"/>
      <c r="F1180" s="135">
        <v>0.142</v>
      </c>
      <c r="G1180" s="118"/>
    </row>
    <row r="1181">
      <c r="A1181" s="132">
        <v>1180.0</v>
      </c>
      <c r="B1181" s="132" t="s">
        <v>1070</v>
      </c>
      <c r="C1181" s="133" t="s">
        <v>1158</v>
      </c>
      <c r="D1181" s="133" t="s">
        <v>1167</v>
      </c>
      <c r="E1181" s="116"/>
      <c r="F1181" s="135">
        <v>0.142</v>
      </c>
      <c r="G1181" s="118"/>
    </row>
    <row r="1182">
      <c r="A1182" s="132">
        <v>1181.0</v>
      </c>
      <c r="B1182" s="132" t="s">
        <v>1070</v>
      </c>
      <c r="C1182" s="133" t="s">
        <v>1168</v>
      </c>
      <c r="D1182" s="133" t="s">
        <v>1169</v>
      </c>
      <c r="E1182" s="116"/>
      <c r="F1182" s="135">
        <v>0.142</v>
      </c>
      <c r="G1182" s="118"/>
    </row>
    <row r="1183">
      <c r="A1183" s="132">
        <v>1182.0</v>
      </c>
      <c r="B1183" s="132" t="s">
        <v>1070</v>
      </c>
      <c r="C1183" s="133" t="s">
        <v>1168</v>
      </c>
      <c r="D1183" s="133" t="s">
        <v>1170</v>
      </c>
      <c r="E1183" s="116"/>
      <c r="F1183" s="135">
        <v>0.142</v>
      </c>
      <c r="G1183" s="118"/>
    </row>
    <row r="1184">
      <c r="A1184" s="132">
        <v>1183.0</v>
      </c>
      <c r="B1184" s="132" t="s">
        <v>1070</v>
      </c>
      <c r="C1184" s="133" t="s">
        <v>1168</v>
      </c>
      <c r="D1184" s="133" t="s">
        <v>1171</v>
      </c>
      <c r="E1184" s="116"/>
      <c r="F1184" s="135">
        <v>0.142</v>
      </c>
      <c r="G1184" s="118"/>
    </row>
    <row r="1185">
      <c r="A1185" s="132">
        <v>1184.0</v>
      </c>
      <c r="B1185" s="132" t="s">
        <v>1070</v>
      </c>
      <c r="C1185" s="133" t="s">
        <v>1168</v>
      </c>
      <c r="D1185" s="133" t="s">
        <v>1172</v>
      </c>
      <c r="E1185" s="116"/>
      <c r="F1185" s="135">
        <v>0.137</v>
      </c>
      <c r="G1185" s="118"/>
    </row>
    <row r="1186">
      <c r="A1186" s="132">
        <v>1185.0</v>
      </c>
      <c r="B1186" s="132" t="s">
        <v>1070</v>
      </c>
      <c r="C1186" s="133" t="s">
        <v>1168</v>
      </c>
      <c r="D1186" s="133" t="s">
        <v>1173</v>
      </c>
      <c r="E1186" s="116"/>
      <c r="F1186" s="135">
        <v>0.142</v>
      </c>
      <c r="G1186" s="118"/>
    </row>
    <row r="1187">
      <c r="A1187" s="132">
        <v>1186.0</v>
      </c>
      <c r="B1187" s="132" t="s">
        <v>1070</v>
      </c>
      <c r="C1187" s="133" t="s">
        <v>1168</v>
      </c>
      <c r="D1187" s="133" t="s">
        <v>1174</v>
      </c>
      <c r="E1187" s="116"/>
      <c r="F1187" s="135">
        <v>0.142</v>
      </c>
      <c r="G1187" s="118"/>
    </row>
    <row r="1188">
      <c r="A1188" s="132">
        <v>1187.0</v>
      </c>
      <c r="B1188" s="132" t="s">
        <v>1070</v>
      </c>
      <c r="C1188" s="133" t="s">
        <v>1168</v>
      </c>
      <c r="D1188" s="133" t="s">
        <v>1175</v>
      </c>
      <c r="E1188" s="116"/>
      <c r="F1188" s="135">
        <v>0.142</v>
      </c>
      <c r="G1188" s="118"/>
    </row>
    <row r="1189">
      <c r="A1189" s="132">
        <v>1188.0</v>
      </c>
      <c r="B1189" s="132" t="s">
        <v>1070</v>
      </c>
      <c r="C1189" s="133" t="s">
        <v>1168</v>
      </c>
      <c r="D1189" s="133" t="s">
        <v>1176</v>
      </c>
      <c r="E1189" s="116"/>
      <c r="F1189" s="135">
        <v>0.142</v>
      </c>
      <c r="G1189" s="118"/>
    </row>
    <row r="1190">
      <c r="A1190" s="132">
        <v>1189.0</v>
      </c>
      <c r="B1190" s="132" t="s">
        <v>1070</v>
      </c>
      <c r="C1190" s="133" t="s">
        <v>1168</v>
      </c>
      <c r="D1190" s="133" t="s">
        <v>1177</v>
      </c>
      <c r="E1190" s="116"/>
      <c r="F1190" s="135">
        <v>0.142</v>
      </c>
      <c r="G1190" s="118"/>
    </row>
    <row r="1191">
      <c r="A1191" s="132">
        <v>1190.0</v>
      </c>
      <c r="B1191" s="132" t="s">
        <v>1070</v>
      </c>
      <c r="C1191" s="133" t="s">
        <v>1168</v>
      </c>
      <c r="D1191" s="133" t="s">
        <v>1178</v>
      </c>
      <c r="E1191" s="116"/>
      <c r="F1191" s="135">
        <v>0.142</v>
      </c>
      <c r="G1191" s="118"/>
    </row>
    <row r="1192">
      <c r="A1192" s="132">
        <v>1191.0</v>
      </c>
      <c r="B1192" s="132" t="s">
        <v>1070</v>
      </c>
      <c r="C1192" s="133" t="s">
        <v>1168</v>
      </c>
      <c r="D1192" s="133" t="s">
        <v>1179</v>
      </c>
      <c r="E1192" s="116"/>
      <c r="F1192" s="135">
        <v>0.142</v>
      </c>
      <c r="G1192" s="118"/>
    </row>
    <row r="1193">
      <c r="A1193" s="132">
        <v>1192.0</v>
      </c>
      <c r="B1193" s="132" t="s">
        <v>1070</v>
      </c>
      <c r="C1193" s="133" t="s">
        <v>1168</v>
      </c>
      <c r="D1193" s="133" t="s">
        <v>1180</v>
      </c>
      <c r="E1193" s="116"/>
      <c r="F1193" s="135">
        <v>0.142</v>
      </c>
      <c r="G1193" s="118"/>
    </row>
    <row r="1194">
      <c r="A1194" s="132">
        <v>1193.0</v>
      </c>
      <c r="B1194" s="132" t="s">
        <v>1070</v>
      </c>
      <c r="C1194" s="133" t="s">
        <v>1168</v>
      </c>
      <c r="D1194" s="133" t="s">
        <v>1181</v>
      </c>
      <c r="E1194" s="116"/>
      <c r="F1194" s="135">
        <v>0.142</v>
      </c>
      <c r="G1194" s="118"/>
    </row>
    <row r="1195">
      <c r="A1195" s="132">
        <v>1194.0</v>
      </c>
      <c r="B1195" s="132" t="s">
        <v>1070</v>
      </c>
      <c r="C1195" s="133" t="s">
        <v>1168</v>
      </c>
      <c r="D1195" s="133" t="s">
        <v>1182</v>
      </c>
      <c r="E1195" s="116"/>
      <c r="F1195" s="135">
        <v>0.142</v>
      </c>
      <c r="G1195" s="118"/>
    </row>
    <row r="1196">
      <c r="A1196" s="132">
        <v>1195.0</v>
      </c>
      <c r="B1196" s="132" t="s">
        <v>1070</v>
      </c>
      <c r="C1196" s="133" t="s">
        <v>1168</v>
      </c>
      <c r="D1196" s="133" t="s">
        <v>62</v>
      </c>
      <c r="E1196" s="116"/>
      <c r="F1196" s="135">
        <v>0.142</v>
      </c>
      <c r="G1196" s="118"/>
    </row>
    <row r="1197">
      <c r="A1197" s="132">
        <v>1196.0</v>
      </c>
      <c r="B1197" s="132" t="s">
        <v>1070</v>
      </c>
      <c r="C1197" s="133" t="s">
        <v>1168</v>
      </c>
      <c r="D1197" s="133" t="s">
        <v>1183</v>
      </c>
      <c r="E1197" s="116"/>
      <c r="F1197" s="135">
        <v>0.142</v>
      </c>
      <c r="G1197" s="118"/>
    </row>
    <row r="1198">
      <c r="A1198" s="132">
        <v>1197.0</v>
      </c>
      <c r="B1198" s="132" t="s">
        <v>1070</v>
      </c>
      <c r="C1198" s="133" t="s">
        <v>1168</v>
      </c>
      <c r="D1198" s="133" t="s">
        <v>1184</v>
      </c>
      <c r="E1198" s="116"/>
      <c r="F1198" s="135">
        <v>0.142</v>
      </c>
      <c r="G1198" s="118"/>
    </row>
    <row r="1199">
      <c r="A1199" s="132">
        <v>1198.0</v>
      </c>
      <c r="B1199" s="132" t="s">
        <v>1070</v>
      </c>
      <c r="C1199" s="133" t="s">
        <v>1168</v>
      </c>
      <c r="D1199" s="133" t="s">
        <v>1185</v>
      </c>
      <c r="E1199" s="116"/>
      <c r="F1199" s="135">
        <v>0.142</v>
      </c>
      <c r="G1199" s="118"/>
    </row>
    <row r="1200">
      <c r="A1200" s="132">
        <v>1199.0</v>
      </c>
      <c r="B1200" s="132" t="s">
        <v>1070</v>
      </c>
      <c r="C1200" s="133" t="s">
        <v>1168</v>
      </c>
      <c r="D1200" s="133" t="s">
        <v>1186</v>
      </c>
      <c r="E1200" s="116"/>
      <c r="F1200" s="135">
        <v>0.142</v>
      </c>
      <c r="G1200" s="118"/>
    </row>
    <row r="1201">
      <c r="A1201" s="132">
        <v>1200.0</v>
      </c>
      <c r="B1201" s="132" t="s">
        <v>1070</v>
      </c>
      <c r="C1201" s="133" t="s">
        <v>1168</v>
      </c>
      <c r="D1201" s="133" t="s">
        <v>1187</v>
      </c>
      <c r="E1201" s="116"/>
      <c r="F1201" s="135">
        <v>0.142</v>
      </c>
      <c r="G1201" s="118"/>
    </row>
    <row r="1202">
      <c r="A1202" s="132">
        <v>1201.0</v>
      </c>
      <c r="B1202" s="132" t="s">
        <v>1070</v>
      </c>
      <c r="C1202" s="133" t="s">
        <v>1168</v>
      </c>
      <c r="D1202" s="133" t="s">
        <v>1188</v>
      </c>
      <c r="E1202" s="116"/>
      <c r="F1202" s="135">
        <v>0.142</v>
      </c>
      <c r="G1202" s="118"/>
    </row>
    <row r="1203">
      <c r="A1203" s="132">
        <v>1202.0</v>
      </c>
      <c r="B1203" s="132" t="s">
        <v>1070</v>
      </c>
      <c r="C1203" s="133" t="s">
        <v>1168</v>
      </c>
      <c r="D1203" s="133" t="s">
        <v>1189</v>
      </c>
      <c r="E1203" s="116"/>
      <c r="F1203" s="135">
        <v>0.142</v>
      </c>
      <c r="G1203" s="118"/>
    </row>
    <row r="1204">
      <c r="A1204" s="132">
        <v>1203.0</v>
      </c>
      <c r="B1204" s="132" t="s">
        <v>1070</v>
      </c>
      <c r="C1204" s="133" t="s">
        <v>1190</v>
      </c>
      <c r="D1204" s="134"/>
      <c r="E1204" s="116"/>
      <c r="F1204" s="135">
        <v>0.142</v>
      </c>
      <c r="G1204" s="118"/>
    </row>
    <row r="1205">
      <c r="A1205" s="132">
        <v>1204.0</v>
      </c>
      <c r="B1205" s="132" t="s">
        <v>1070</v>
      </c>
      <c r="C1205" s="133" t="s">
        <v>62</v>
      </c>
      <c r="D1205" s="134"/>
      <c r="E1205" s="116"/>
      <c r="F1205" s="135">
        <v>0.137</v>
      </c>
      <c r="G1205" s="118"/>
    </row>
    <row r="1206">
      <c r="A1206" s="132">
        <v>1205.0</v>
      </c>
      <c r="B1206" s="132" t="s">
        <v>1070</v>
      </c>
      <c r="C1206" s="133" t="s">
        <v>1191</v>
      </c>
      <c r="D1206" s="133" t="s">
        <v>1192</v>
      </c>
      <c r="E1206" s="116"/>
      <c r="F1206" s="135">
        <v>0.137</v>
      </c>
      <c r="G1206" s="118"/>
    </row>
    <row r="1207">
      <c r="A1207" s="132">
        <v>1206.0</v>
      </c>
      <c r="B1207" s="132" t="s">
        <v>1070</v>
      </c>
      <c r="C1207" s="133" t="s">
        <v>1191</v>
      </c>
      <c r="D1207" s="133" t="s">
        <v>1193</v>
      </c>
      <c r="E1207" s="116"/>
      <c r="F1207" s="135">
        <v>0.137</v>
      </c>
      <c r="G1207" s="118"/>
    </row>
    <row r="1208">
      <c r="A1208" s="132">
        <v>1207.0</v>
      </c>
      <c r="B1208" s="132" t="s">
        <v>1070</v>
      </c>
      <c r="C1208" s="133" t="s">
        <v>1191</v>
      </c>
      <c r="D1208" s="133" t="s">
        <v>1194</v>
      </c>
      <c r="E1208" s="116"/>
      <c r="F1208" s="135">
        <v>0.137</v>
      </c>
      <c r="G1208" s="118"/>
    </row>
    <row r="1209">
      <c r="A1209" s="132">
        <v>1208.0</v>
      </c>
      <c r="B1209" s="132" t="s">
        <v>1070</v>
      </c>
      <c r="C1209" s="133" t="s">
        <v>1191</v>
      </c>
      <c r="D1209" s="133" t="s">
        <v>1195</v>
      </c>
      <c r="E1209" s="116"/>
      <c r="F1209" s="135">
        <v>0.137</v>
      </c>
      <c r="G1209" s="118"/>
    </row>
    <row r="1210">
      <c r="A1210" s="132">
        <v>1209.0</v>
      </c>
      <c r="B1210" s="132" t="s">
        <v>1070</v>
      </c>
      <c r="C1210" s="133" t="s">
        <v>1191</v>
      </c>
      <c r="D1210" s="133" t="s">
        <v>62</v>
      </c>
      <c r="E1210" s="116"/>
      <c r="F1210" s="135">
        <v>0.137</v>
      </c>
      <c r="G1210" s="118"/>
    </row>
    <row r="1211">
      <c r="A1211" s="132">
        <v>1210.0</v>
      </c>
      <c r="B1211" s="132" t="s">
        <v>1070</v>
      </c>
      <c r="C1211" s="133" t="s">
        <v>1191</v>
      </c>
      <c r="D1211" s="133" t="s">
        <v>1196</v>
      </c>
      <c r="E1211" s="116"/>
      <c r="F1211" s="135">
        <v>0.137</v>
      </c>
      <c r="G1211" s="118"/>
    </row>
    <row r="1212">
      <c r="A1212" s="132">
        <v>1211.0</v>
      </c>
      <c r="B1212" s="132" t="s">
        <v>1070</v>
      </c>
      <c r="C1212" s="133" t="s">
        <v>1191</v>
      </c>
      <c r="D1212" s="133" t="s">
        <v>1197</v>
      </c>
      <c r="E1212" s="116"/>
      <c r="F1212" s="135">
        <v>0.137</v>
      </c>
      <c r="G1212" s="118"/>
    </row>
    <row r="1213">
      <c r="A1213" s="132">
        <v>1212.0</v>
      </c>
      <c r="B1213" s="132" t="s">
        <v>1070</v>
      </c>
      <c r="C1213" s="133" t="s">
        <v>1191</v>
      </c>
      <c r="D1213" s="133" t="s">
        <v>1198</v>
      </c>
      <c r="E1213" s="116"/>
      <c r="F1213" s="135">
        <v>0.137</v>
      </c>
      <c r="G1213" s="118"/>
    </row>
    <row r="1214">
      <c r="A1214" s="132">
        <v>1213.0</v>
      </c>
      <c r="B1214" s="132" t="s">
        <v>1070</v>
      </c>
      <c r="C1214" s="133" t="s">
        <v>1199</v>
      </c>
      <c r="D1214" s="133" t="s">
        <v>1200</v>
      </c>
      <c r="E1214" s="116"/>
      <c r="F1214" s="135">
        <v>0.115</v>
      </c>
      <c r="G1214" s="118"/>
    </row>
    <row r="1215">
      <c r="A1215" s="132">
        <v>1214.0</v>
      </c>
      <c r="B1215" s="132" t="s">
        <v>1070</v>
      </c>
      <c r="C1215" s="133" t="s">
        <v>1199</v>
      </c>
      <c r="D1215" s="133" t="s">
        <v>1201</v>
      </c>
      <c r="E1215" s="116"/>
      <c r="F1215" s="135">
        <v>0.115</v>
      </c>
      <c r="G1215" s="118"/>
    </row>
    <row r="1216">
      <c r="A1216" s="132">
        <v>1215.0</v>
      </c>
      <c r="B1216" s="132" t="s">
        <v>1070</v>
      </c>
      <c r="C1216" s="133" t="s">
        <v>1199</v>
      </c>
      <c r="D1216" s="133" t="s">
        <v>62</v>
      </c>
      <c r="E1216" s="116"/>
      <c r="F1216" s="135">
        <v>0.115</v>
      </c>
      <c r="G1216" s="118"/>
    </row>
    <row r="1217">
      <c r="A1217" s="132">
        <v>1216.0</v>
      </c>
      <c r="B1217" s="132" t="s">
        <v>1070</v>
      </c>
      <c r="C1217" s="133" t="s">
        <v>1199</v>
      </c>
      <c r="D1217" s="133" t="s">
        <v>1202</v>
      </c>
      <c r="E1217" s="116"/>
      <c r="F1217" s="135">
        <v>0.115</v>
      </c>
      <c r="G1217" s="118"/>
    </row>
    <row r="1218">
      <c r="A1218" s="132">
        <v>1217.0</v>
      </c>
      <c r="B1218" s="132" t="s">
        <v>1070</v>
      </c>
      <c r="C1218" s="133" t="s">
        <v>1203</v>
      </c>
      <c r="D1218" s="133" t="s">
        <v>1204</v>
      </c>
      <c r="E1218" s="116"/>
      <c r="F1218" s="135">
        <v>0.137</v>
      </c>
      <c r="G1218" s="118"/>
    </row>
    <row r="1219">
      <c r="A1219" s="132">
        <v>1218.0</v>
      </c>
      <c r="B1219" s="132" t="s">
        <v>1070</v>
      </c>
      <c r="C1219" s="133" t="s">
        <v>1203</v>
      </c>
      <c r="D1219" s="133" t="s">
        <v>1205</v>
      </c>
      <c r="E1219" s="116"/>
      <c r="F1219" s="135">
        <v>0.126</v>
      </c>
      <c r="G1219" s="118"/>
    </row>
    <row r="1220">
      <c r="A1220" s="132">
        <v>1219.0</v>
      </c>
      <c r="B1220" s="132" t="s">
        <v>1070</v>
      </c>
      <c r="C1220" s="133" t="s">
        <v>1203</v>
      </c>
      <c r="D1220" s="133" t="s">
        <v>1206</v>
      </c>
      <c r="E1220" s="116"/>
      <c r="F1220" s="135">
        <v>0.126</v>
      </c>
      <c r="G1220" s="118"/>
    </row>
    <row r="1221">
      <c r="A1221" s="132">
        <v>1220.0</v>
      </c>
      <c r="B1221" s="132" t="s">
        <v>1070</v>
      </c>
      <c r="C1221" s="133" t="s">
        <v>1203</v>
      </c>
      <c r="D1221" s="133" t="s">
        <v>1207</v>
      </c>
      <c r="E1221" s="116"/>
      <c r="F1221" s="135">
        <v>0.137</v>
      </c>
      <c r="G1221" s="118"/>
    </row>
    <row r="1222">
      <c r="A1222" s="132">
        <v>1221.0</v>
      </c>
      <c r="B1222" s="132" t="s">
        <v>1070</v>
      </c>
      <c r="C1222" s="133" t="s">
        <v>1203</v>
      </c>
      <c r="D1222" s="133" t="s">
        <v>1208</v>
      </c>
      <c r="E1222" s="116"/>
      <c r="F1222" s="135">
        <v>0.126</v>
      </c>
      <c r="G1222" s="118"/>
    </row>
    <row r="1223">
      <c r="A1223" s="132">
        <v>1222.0</v>
      </c>
      <c r="B1223" s="132" t="s">
        <v>1070</v>
      </c>
      <c r="C1223" s="133" t="s">
        <v>1203</v>
      </c>
      <c r="D1223" s="133" t="s">
        <v>62</v>
      </c>
      <c r="E1223" s="116"/>
      <c r="F1223" s="135">
        <v>0.137</v>
      </c>
      <c r="G1223" s="118"/>
    </row>
    <row r="1224">
      <c r="A1224" s="132">
        <v>1223.0</v>
      </c>
      <c r="B1224" s="132" t="s">
        <v>1070</v>
      </c>
      <c r="C1224" s="133" t="s">
        <v>1203</v>
      </c>
      <c r="D1224" s="133" t="s">
        <v>1209</v>
      </c>
      <c r="E1224" s="116"/>
      <c r="F1224" s="135">
        <v>0.137</v>
      </c>
      <c r="G1224" s="118"/>
    </row>
    <row r="1225">
      <c r="A1225" s="132">
        <v>1224.0</v>
      </c>
      <c r="B1225" s="132" t="s">
        <v>1070</v>
      </c>
      <c r="C1225" s="133" t="s">
        <v>1203</v>
      </c>
      <c r="D1225" s="133" t="s">
        <v>1210</v>
      </c>
      <c r="E1225" s="116"/>
      <c r="F1225" s="135">
        <v>0.137</v>
      </c>
      <c r="G1225" s="118"/>
    </row>
    <row r="1226">
      <c r="A1226" s="132">
        <v>1225.0</v>
      </c>
      <c r="B1226" s="132" t="s">
        <v>1070</v>
      </c>
      <c r="C1226" s="133" t="s">
        <v>1203</v>
      </c>
      <c r="D1226" s="133" t="s">
        <v>1211</v>
      </c>
      <c r="E1226" s="116"/>
      <c r="F1226" s="135">
        <v>0.137</v>
      </c>
      <c r="G1226" s="118"/>
    </row>
    <row r="1227">
      <c r="A1227" s="132">
        <v>1226.0</v>
      </c>
      <c r="B1227" s="132" t="s">
        <v>1070</v>
      </c>
      <c r="C1227" s="133" t="s">
        <v>1203</v>
      </c>
      <c r="D1227" s="133" t="s">
        <v>1212</v>
      </c>
      <c r="E1227" s="116"/>
      <c r="F1227" s="135">
        <v>0.137</v>
      </c>
      <c r="G1227" s="118"/>
    </row>
    <row r="1228">
      <c r="A1228" s="132">
        <v>1227.0</v>
      </c>
      <c r="B1228" s="132" t="s">
        <v>1070</v>
      </c>
      <c r="C1228" s="133" t="s">
        <v>1203</v>
      </c>
      <c r="D1228" s="133" t="s">
        <v>1213</v>
      </c>
      <c r="E1228" s="116"/>
      <c r="F1228" s="135">
        <v>0.137</v>
      </c>
      <c r="G1228" s="118"/>
    </row>
    <row r="1229">
      <c r="A1229" s="132">
        <v>1228.0</v>
      </c>
      <c r="B1229" s="132" t="s">
        <v>1070</v>
      </c>
      <c r="C1229" s="133" t="s">
        <v>1203</v>
      </c>
      <c r="D1229" s="133" t="s">
        <v>789</v>
      </c>
      <c r="E1229" s="116"/>
      <c r="F1229" s="135">
        <v>0.137</v>
      </c>
      <c r="G1229" s="118"/>
    </row>
    <row r="1230">
      <c r="A1230" s="132">
        <v>1229.0</v>
      </c>
      <c r="B1230" s="132" t="s">
        <v>1070</v>
      </c>
      <c r="C1230" s="133" t="s">
        <v>1203</v>
      </c>
      <c r="D1230" s="133" t="s">
        <v>1214</v>
      </c>
      <c r="E1230" s="116"/>
      <c r="F1230" s="135">
        <v>0.137</v>
      </c>
      <c r="G1230" s="118"/>
    </row>
    <row r="1231">
      <c r="A1231" s="132">
        <v>1230.0</v>
      </c>
      <c r="B1231" s="132" t="s">
        <v>1070</v>
      </c>
      <c r="C1231" s="133" t="s">
        <v>1203</v>
      </c>
      <c r="D1231" s="133" t="s">
        <v>1215</v>
      </c>
      <c r="E1231" s="116"/>
      <c r="F1231" s="135">
        <v>0.126</v>
      </c>
      <c r="G1231" s="118"/>
    </row>
    <row r="1232">
      <c r="A1232" s="132">
        <v>1231.0</v>
      </c>
      <c r="B1232" s="132" t="s">
        <v>1216</v>
      </c>
      <c r="C1232" s="133" t="s">
        <v>1217</v>
      </c>
      <c r="D1232" s="133" t="s">
        <v>1218</v>
      </c>
      <c r="E1232" s="116"/>
      <c r="F1232" s="135">
        <v>0.137</v>
      </c>
      <c r="G1232" s="118"/>
    </row>
    <row r="1233">
      <c r="A1233" s="132">
        <v>1232.0</v>
      </c>
      <c r="B1233" s="132" t="s">
        <v>1216</v>
      </c>
      <c r="C1233" s="133" t="s">
        <v>1217</v>
      </c>
      <c r="D1233" s="133" t="s">
        <v>1219</v>
      </c>
      <c r="E1233" s="116"/>
      <c r="F1233" s="135">
        <v>0.137</v>
      </c>
      <c r="G1233" s="118"/>
    </row>
    <row r="1234">
      <c r="A1234" s="132">
        <v>1233.0</v>
      </c>
      <c r="B1234" s="132" t="s">
        <v>1216</v>
      </c>
      <c r="C1234" s="133" t="s">
        <v>1217</v>
      </c>
      <c r="D1234" s="133" t="s">
        <v>936</v>
      </c>
      <c r="E1234" s="116"/>
      <c r="F1234" s="135">
        <v>0.137</v>
      </c>
      <c r="G1234" s="118"/>
    </row>
    <row r="1235">
      <c r="A1235" s="132">
        <v>1234.0</v>
      </c>
      <c r="B1235" s="132" t="s">
        <v>1216</v>
      </c>
      <c r="C1235" s="133" t="s">
        <v>1217</v>
      </c>
      <c r="D1235" s="133" t="s">
        <v>951</v>
      </c>
      <c r="E1235" s="116"/>
      <c r="F1235" s="135">
        <v>0.137</v>
      </c>
      <c r="G1235" s="118"/>
    </row>
    <row r="1236">
      <c r="A1236" s="132">
        <v>1235.0</v>
      </c>
      <c r="B1236" s="132" t="s">
        <v>1216</v>
      </c>
      <c r="C1236" s="133" t="s">
        <v>1217</v>
      </c>
      <c r="D1236" s="133" t="s">
        <v>1220</v>
      </c>
      <c r="E1236" s="116"/>
      <c r="F1236" s="135">
        <v>0.137</v>
      </c>
      <c r="G1236" s="118"/>
    </row>
    <row r="1237">
      <c r="A1237" s="132">
        <v>1236.0</v>
      </c>
      <c r="B1237" s="132" t="s">
        <v>1216</v>
      </c>
      <c r="C1237" s="133" t="s">
        <v>1217</v>
      </c>
      <c r="D1237" s="133" t="s">
        <v>942</v>
      </c>
      <c r="E1237" s="116"/>
      <c r="F1237" s="135">
        <v>0.137</v>
      </c>
      <c r="G1237" s="118"/>
    </row>
    <row r="1238">
      <c r="A1238" s="132">
        <v>1237.0</v>
      </c>
      <c r="B1238" s="132" t="s">
        <v>1216</v>
      </c>
      <c r="C1238" s="133" t="s">
        <v>1217</v>
      </c>
      <c r="D1238" s="133" t="s">
        <v>62</v>
      </c>
      <c r="E1238" s="116"/>
      <c r="F1238" s="135">
        <v>0.137</v>
      </c>
      <c r="G1238" s="118"/>
    </row>
    <row r="1239">
      <c r="A1239" s="132">
        <v>1238.0</v>
      </c>
      <c r="B1239" s="132" t="s">
        <v>1216</v>
      </c>
      <c r="C1239" s="133" t="s">
        <v>1217</v>
      </c>
      <c r="D1239" s="133" t="s">
        <v>956</v>
      </c>
      <c r="E1239" s="116"/>
      <c r="F1239" s="135">
        <v>0.137</v>
      </c>
      <c r="G1239" s="118"/>
    </row>
    <row r="1240">
      <c r="A1240" s="132">
        <v>1239.0</v>
      </c>
      <c r="B1240" s="132" t="s">
        <v>1216</v>
      </c>
      <c r="C1240" s="133" t="s">
        <v>1217</v>
      </c>
      <c r="D1240" s="133" t="s">
        <v>1221</v>
      </c>
      <c r="E1240" s="116"/>
      <c r="F1240" s="135">
        <v>0.137</v>
      </c>
      <c r="G1240" s="118"/>
    </row>
    <row r="1241">
      <c r="A1241" s="132">
        <v>1240.0</v>
      </c>
      <c r="B1241" s="132" t="s">
        <v>1216</v>
      </c>
      <c r="C1241" s="133" t="s">
        <v>1217</v>
      </c>
      <c r="D1241" s="133" t="s">
        <v>1222</v>
      </c>
      <c r="E1241" s="116"/>
      <c r="F1241" s="135">
        <v>0.137</v>
      </c>
      <c r="G1241" s="118"/>
    </row>
    <row r="1242">
      <c r="A1242" s="132">
        <v>1241.0</v>
      </c>
      <c r="B1242" s="132" t="s">
        <v>1216</v>
      </c>
      <c r="C1242" s="133" t="s">
        <v>1217</v>
      </c>
      <c r="D1242" s="133" t="s">
        <v>944</v>
      </c>
      <c r="E1242" s="116"/>
      <c r="F1242" s="135">
        <v>0.137</v>
      </c>
      <c r="G1242" s="118"/>
    </row>
    <row r="1243">
      <c r="A1243" s="132">
        <v>1242.0</v>
      </c>
      <c r="B1243" s="132" t="s">
        <v>1216</v>
      </c>
      <c r="C1243" s="133" t="s">
        <v>1223</v>
      </c>
      <c r="D1243" s="134"/>
      <c r="E1243" s="116"/>
      <c r="F1243" s="135">
        <v>0.142</v>
      </c>
      <c r="G1243" s="118"/>
    </row>
    <row r="1244">
      <c r="A1244" s="132">
        <v>1243.0</v>
      </c>
      <c r="B1244" s="132" t="s">
        <v>1216</v>
      </c>
      <c r="C1244" s="133" t="s">
        <v>1224</v>
      </c>
      <c r="D1244" s="133" t="s">
        <v>1225</v>
      </c>
      <c r="E1244" s="116"/>
      <c r="F1244" s="135">
        <v>0.137</v>
      </c>
      <c r="G1244" s="118"/>
    </row>
    <row r="1245">
      <c r="A1245" s="132">
        <v>1244.0</v>
      </c>
      <c r="B1245" s="132" t="s">
        <v>1216</v>
      </c>
      <c r="C1245" s="133" t="s">
        <v>1224</v>
      </c>
      <c r="D1245" s="133" t="s">
        <v>1226</v>
      </c>
      <c r="E1245" s="116"/>
      <c r="F1245" s="135">
        <v>0.115</v>
      </c>
      <c r="G1245" s="118"/>
    </row>
    <row r="1246">
      <c r="A1246" s="132">
        <v>1245.0</v>
      </c>
      <c r="B1246" s="132" t="s">
        <v>1216</v>
      </c>
      <c r="C1246" s="133" t="s">
        <v>1224</v>
      </c>
      <c r="D1246" s="133" t="s">
        <v>966</v>
      </c>
      <c r="E1246" s="116"/>
      <c r="F1246" s="135">
        <v>0.137</v>
      </c>
      <c r="G1246" s="118"/>
    </row>
    <row r="1247">
      <c r="A1247" s="132">
        <v>1246.0</v>
      </c>
      <c r="B1247" s="132" t="s">
        <v>1216</v>
      </c>
      <c r="C1247" s="133" t="s">
        <v>1224</v>
      </c>
      <c r="D1247" s="133" t="s">
        <v>1227</v>
      </c>
      <c r="E1247" s="116"/>
      <c r="F1247" s="135">
        <v>0.137</v>
      </c>
      <c r="G1247" s="118"/>
    </row>
    <row r="1248">
      <c r="A1248" s="132">
        <v>1247.0</v>
      </c>
      <c r="B1248" s="132" t="s">
        <v>1216</v>
      </c>
      <c r="C1248" s="133" t="s">
        <v>1224</v>
      </c>
      <c r="D1248" s="133" t="s">
        <v>1228</v>
      </c>
      <c r="E1248" s="116"/>
      <c r="F1248" s="135">
        <v>0.137</v>
      </c>
      <c r="G1248" s="118"/>
    </row>
    <row r="1249">
      <c r="A1249" s="132">
        <v>1248.0</v>
      </c>
      <c r="B1249" s="132" t="s">
        <v>1216</v>
      </c>
      <c r="C1249" s="133" t="s">
        <v>1224</v>
      </c>
      <c r="D1249" s="133" t="s">
        <v>970</v>
      </c>
      <c r="E1249" s="116"/>
      <c r="F1249" s="135">
        <v>0.137</v>
      </c>
      <c r="G1249" s="118"/>
    </row>
    <row r="1250">
      <c r="A1250" s="132">
        <v>1249.0</v>
      </c>
      <c r="B1250" s="132" t="s">
        <v>1216</v>
      </c>
      <c r="C1250" s="133" t="s">
        <v>1224</v>
      </c>
      <c r="D1250" s="133" t="s">
        <v>971</v>
      </c>
      <c r="E1250" s="116"/>
      <c r="F1250" s="135">
        <v>0.137</v>
      </c>
      <c r="G1250" s="118"/>
    </row>
    <row r="1251">
      <c r="A1251" s="132">
        <v>1250.0</v>
      </c>
      <c r="B1251" s="132" t="s">
        <v>1216</v>
      </c>
      <c r="C1251" s="133" t="s">
        <v>1224</v>
      </c>
      <c r="D1251" s="133" t="s">
        <v>1229</v>
      </c>
      <c r="E1251" s="116"/>
      <c r="F1251" s="135">
        <v>0.137</v>
      </c>
      <c r="G1251" s="118"/>
    </row>
    <row r="1252">
      <c r="A1252" s="132">
        <v>1251.0</v>
      </c>
      <c r="B1252" s="132" t="s">
        <v>1216</v>
      </c>
      <c r="C1252" s="133" t="s">
        <v>1224</v>
      </c>
      <c r="D1252" s="133" t="s">
        <v>1230</v>
      </c>
      <c r="E1252" s="116"/>
      <c r="F1252" s="135">
        <v>0.137</v>
      </c>
      <c r="G1252" s="118"/>
    </row>
    <row r="1253">
      <c r="A1253" s="132">
        <v>1252.0</v>
      </c>
      <c r="B1253" s="132" t="s">
        <v>1216</v>
      </c>
      <c r="C1253" s="133" t="s">
        <v>1224</v>
      </c>
      <c r="D1253" s="133" t="s">
        <v>1190</v>
      </c>
      <c r="E1253" s="116"/>
      <c r="F1253" s="135">
        <v>0.137</v>
      </c>
      <c r="G1253" s="118"/>
    </row>
    <row r="1254">
      <c r="A1254" s="132">
        <v>1253.0</v>
      </c>
      <c r="B1254" s="132" t="s">
        <v>1216</v>
      </c>
      <c r="C1254" s="133" t="s">
        <v>1224</v>
      </c>
      <c r="D1254" s="133" t="s">
        <v>62</v>
      </c>
      <c r="E1254" s="116"/>
      <c r="F1254" s="135">
        <v>0.137</v>
      </c>
      <c r="G1254" s="118"/>
    </row>
    <row r="1255">
      <c r="A1255" s="132">
        <v>1254.0</v>
      </c>
      <c r="B1255" s="132" t="s">
        <v>1216</v>
      </c>
      <c r="C1255" s="133" t="s">
        <v>1224</v>
      </c>
      <c r="D1255" s="133" t="s">
        <v>1231</v>
      </c>
      <c r="E1255" s="116"/>
      <c r="F1255" s="135">
        <v>0.115</v>
      </c>
      <c r="G1255" s="118"/>
    </row>
    <row r="1256">
      <c r="A1256" s="132">
        <v>1255.0</v>
      </c>
      <c r="B1256" s="132" t="s">
        <v>1216</v>
      </c>
      <c r="C1256" s="133" t="s">
        <v>1224</v>
      </c>
      <c r="D1256" s="133" t="s">
        <v>1232</v>
      </c>
      <c r="E1256" s="116"/>
      <c r="F1256" s="135">
        <v>0.137</v>
      </c>
      <c r="G1256" s="118"/>
    </row>
    <row r="1257">
      <c r="A1257" s="132">
        <v>1256.0</v>
      </c>
      <c r="B1257" s="132" t="s">
        <v>1216</v>
      </c>
      <c r="C1257" s="133" t="s">
        <v>1224</v>
      </c>
      <c r="D1257" s="133" t="s">
        <v>975</v>
      </c>
      <c r="E1257" s="116"/>
      <c r="F1257" s="135">
        <v>0.137</v>
      </c>
      <c r="G1257" s="118"/>
    </row>
    <row r="1258">
      <c r="A1258" s="132">
        <v>1257.0</v>
      </c>
      <c r="B1258" s="132" t="s">
        <v>1216</v>
      </c>
      <c r="C1258" s="133" t="s">
        <v>1216</v>
      </c>
      <c r="D1258" s="134"/>
      <c r="E1258" s="116"/>
      <c r="F1258" s="135">
        <v>0.015</v>
      </c>
      <c r="G1258" s="118"/>
    </row>
    <row r="1259">
      <c r="A1259" s="132">
        <v>1258.0</v>
      </c>
      <c r="B1259" s="132" t="s">
        <v>1216</v>
      </c>
      <c r="C1259" s="133" t="s">
        <v>62</v>
      </c>
      <c r="D1259" s="134"/>
      <c r="E1259" s="116"/>
      <c r="F1259" s="135">
        <v>0.137</v>
      </c>
      <c r="G1259" s="118"/>
    </row>
    <row r="1260">
      <c r="A1260" s="132">
        <v>1259.0</v>
      </c>
      <c r="B1260" s="132" t="s">
        <v>1233</v>
      </c>
      <c r="C1260" s="133" t="s">
        <v>1234</v>
      </c>
      <c r="D1260" s="133" t="s">
        <v>1235</v>
      </c>
      <c r="E1260" s="116"/>
      <c r="F1260" s="135">
        <v>0.137</v>
      </c>
      <c r="G1260" s="118"/>
    </row>
    <row r="1261">
      <c r="A1261" s="132">
        <v>1260.0</v>
      </c>
      <c r="B1261" s="132" t="s">
        <v>1233</v>
      </c>
      <c r="C1261" s="133" t="s">
        <v>1234</v>
      </c>
      <c r="D1261" s="133" t="s">
        <v>1236</v>
      </c>
      <c r="E1261" s="116"/>
      <c r="F1261" s="135">
        <v>0.137</v>
      </c>
      <c r="G1261" s="118"/>
    </row>
    <row r="1262">
      <c r="A1262" s="132">
        <v>1261.0</v>
      </c>
      <c r="B1262" s="132" t="s">
        <v>1233</v>
      </c>
      <c r="C1262" s="133" t="s">
        <v>1234</v>
      </c>
      <c r="D1262" s="133" t="s">
        <v>1237</v>
      </c>
      <c r="E1262" s="116"/>
      <c r="F1262" s="135">
        <v>0.137</v>
      </c>
      <c r="G1262" s="118"/>
    </row>
    <row r="1263">
      <c r="A1263" s="132">
        <v>1262.0</v>
      </c>
      <c r="B1263" s="132" t="s">
        <v>1233</v>
      </c>
      <c r="C1263" s="133" t="s">
        <v>1234</v>
      </c>
      <c r="D1263" s="133" t="s">
        <v>1238</v>
      </c>
      <c r="E1263" s="116"/>
      <c r="F1263" s="135">
        <v>0.137</v>
      </c>
      <c r="G1263" s="118"/>
    </row>
    <row r="1264">
      <c r="A1264" s="132">
        <v>1263.0</v>
      </c>
      <c r="B1264" s="132" t="s">
        <v>1233</v>
      </c>
      <c r="C1264" s="133" t="s">
        <v>1234</v>
      </c>
      <c r="D1264" s="133" t="s">
        <v>1239</v>
      </c>
      <c r="E1264" s="116"/>
      <c r="F1264" s="135">
        <v>0.137</v>
      </c>
      <c r="G1264" s="118"/>
    </row>
    <row r="1265">
      <c r="A1265" s="132">
        <v>1264.0</v>
      </c>
      <c r="B1265" s="132" t="s">
        <v>1233</v>
      </c>
      <c r="C1265" s="133" t="s">
        <v>1234</v>
      </c>
      <c r="D1265" s="133" t="s">
        <v>62</v>
      </c>
      <c r="E1265" s="116"/>
      <c r="F1265" s="135">
        <v>0.137</v>
      </c>
      <c r="G1265" s="118"/>
    </row>
    <row r="1266">
      <c r="A1266" s="132">
        <v>1265.0</v>
      </c>
      <c r="B1266" s="132" t="s">
        <v>1233</v>
      </c>
      <c r="C1266" s="133" t="s">
        <v>1234</v>
      </c>
      <c r="D1266" s="133" t="s">
        <v>1240</v>
      </c>
      <c r="E1266" s="116"/>
      <c r="F1266" s="135">
        <v>0.137</v>
      </c>
      <c r="G1266" s="118"/>
    </row>
    <row r="1267">
      <c r="A1267" s="132">
        <v>1266.0</v>
      </c>
      <c r="B1267" s="132" t="s">
        <v>1233</v>
      </c>
      <c r="C1267" s="133" t="s">
        <v>1234</v>
      </c>
      <c r="D1267" s="133" t="s">
        <v>1241</v>
      </c>
      <c r="E1267" s="116"/>
      <c r="F1267" s="135">
        <v>0.137</v>
      </c>
      <c r="G1267" s="118"/>
    </row>
    <row r="1268">
      <c r="A1268" s="132">
        <v>1267.0</v>
      </c>
      <c r="B1268" s="132" t="s">
        <v>1233</v>
      </c>
      <c r="C1268" s="133" t="s">
        <v>1234</v>
      </c>
      <c r="D1268" s="133" t="s">
        <v>1242</v>
      </c>
      <c r="E1268" s="116"/>
      <c r="F1268" s="135">
        <v>0.137</v>
      </c>
      <c r="G1268" s="118"/>
    </row>
    <row r="1269">
      <c r="A1269" s="132">
        <v>1268.0</v>
      </c>
      <c r="B1269" s="132" t="s">
        <v>1233</v>
      </c>
      <c r="C1269" s="133" t="s">
        <v>1234</v>
      </c>
      <c r="D1269" s="133" t="s">
        <v>1243</v>
      </c>
      <c r="E1269" s="116"/>
      <c r="F1269" s="135">
        <v>0.137</v>
      </c>
      <c r="G1269" s="118"/>
    </row>
    <row r="1270">
      <c r="A1270" s="132">
        <v>1269.0</v>
      </c>
      <c r="B1270" s="132" t="s">
        <v>1233</v>
      </c>
      <c r="C1270" s="133" t="s">
        <v>1244</v>
      </c>
      <c r="D1270" s="133" t="s">
        <v>1245</v>
      </c>
      <c r="E1270" s="116"/>
      <c r="F1270" s="135">
        <v>0.115</v>
      </c>
      <c r="G1270" s="118"/>
    </row>
    <row r="1271">
      <c r="A1271" s="132">
        <v>1270.0</v>
      </c>
      <c r="B1271" s="132" t="s">
        <v>1233</v>
      </c>
      <c r="C1271" s="133" t="s">
        <v>1244</v>
      </c>
      <c r="D1271" s="133" t="s">
        <v>1246</v>
      </c>
      <c r="E1271" s="116"/>
      <c r="F1271" s="135">
        <v>0.137</v>
      </c>
      <c r="G1271" s="118"/>
    </row>
    <row r="1272">
      <c r="A1272" s="132">
        <v>1271.0</v>
      </c>
      <c r="B1272" s="132" t="s">
        <v>1233</v>
      </c>
      <c r="C1272" s="133" t="s">
        <v>1244</v>
      </c>
      <c r="D1272" s="133" t="s">
        <v>1247</v>
      </c>
      <c r="E1272" s="116"/>
      <c r="F1272" s="135">
        <v>0.115</v>
      </c>
      <c r="G1272" s="118"/>
    </row>
    <row r="1273">
      <c r="A1273" s="132">
        <v>1272.0</v>
      </c>
      <c r="B1273" s="132" t="s">
        <v>1233</v>
      </c>
      <c r="C1273" s="133" t="s">
        <v>1244</v>
      </c>
      <c r="D1273" s="133" t="s">
        <v>1248</v>
      </c>
      <c r="E1273" s="116"/>
      <c r="F1273" s="135">
        <v>0.137</v>
      </c>
      <c r="G1273" s="118"/>
    </row>
    <row r="1274">
      <c r="A1274" s="132">
        <v>1273.0</v>
      </c>
      <c r="B1274" s="132" t="s">
        <v>1233</v>
      </c>
      <c r="C1274" s="133" t="s">
        <v>1244</v>
      </c>
      <c r="D1274" s="133" t="s">
        <v>1249</v>
      </c>
      <c r="E1274" s="116"/>
      <c r="F1274" s="135">
        <v>0.137</v>
      </c>
      <c r="G1274" s="118"/>
    </row>
    <row r="1275">
      <c r="A1275" s="132">
        <v>1274.0</v>
      </c>
      <c r="B1275" s="132" t="s">
        <v>1233</v>
      </c>
      <c r="C1275" s="133" t="s">
        <v>1244</v>
      </c>
      <c r="D1275" s="133" t="s">
        <v>62</v>
      </c>
      <c r="E1275" s="116"/>
      <c r="F1275" s="135">
        <v>0.137</v>
      </c>
      <c r="G1275" s="118"/>
    </row>
    <row r="1276">
      <c r="A1276" s="132">
        <v>1275.0</v>
      </c>
      <c r="B1276" s="132" t="s">
        <v>1233</v>
      </c>
      <c r="C1276" s="133" t="s">
        <v>1244</v>
      </c>
      <c r="D1276" s="133" t="s">
        <v>1250</v>
      </c>
      <c r="E1276" s="116"/>
      <c r="F1276" s="135">
        <v>0.137</v>
      </c>
      <c r="G1276" s="118"/>
    </row>
    <row r="1277">
      <c r="A1277" s="132">
        <v>1276.0</v>
      </c>
      <c r="B1277" s="132" t="s">
        <v>1233</v>
      </c>
      <c r="C1277" s="133" t="s">
        <v>1251</v>
      </c>
      <c r="D1277" s="133" t="s">
        <v>1252</v>
      </c>
      <c r="E1277" s="116"/>
      <c r="F1277" s="135">
        <v>0.137</v>
      </c>
      <c r="G1277" s="118"/>
    </row>
    <row r="1278">
      <c r="A1278" s="132">
        <v>1277.0</v>
      </c>
      <c r="B1278" s="132" t="s">
        <v>1233</v>
      </c>
      <c r="C1278" s="133" t="s">
        <v>1251</v>
      </c>
      <c r="D1278" s="133" t="s">
        <v>62</v>
      </c>
      <c r="E1278" s="116"/>
      <c r="F1278" s="135">
        <v>0.137</v>
      </c>
      <c r="G1278" s="118"/>
    </row>
    <row r="1279">
      <c r="A1279" s="132">
        <v>1278.0</v>
      </c>
      <c r="B1279" s="132" t="s">
        <v>1233</v>
      </c>
      <c r="C1279" s="133" t="s">
        <v>1251</v>
      </c>
      <c r="D1279" s="133" t="s">
        <v>1253</v>
      </c>
      <c r="E1279" s="116"/>
      <c r="F1279" s="135">
        <v>0.137</v>
      </c>
      <c r="G1279" s="118"/>
    </row>
    <row r="1280">
      <c r="A1280" s="132">
        <v>1279.0</v>
      </c>
      <c r="B1280" s="132" t="s">
        <v>1233</v>
      </c>
      <c r="C1280" s="133" t="s">
        <v>1251</v>
      </c>
      <c r="D1280" s="133" t="s">
        <v>1254</v>
      </c>
      <c r="E1280" s="116"/>
      <c r="F1280" s="135">
        <v>0.137</v>
      </c>
      <c r="G1280" s="118"/>
    </row>
    <row r="1281">
      <c r="A1281" s="132">
        <v>1280.0</v>
      </c>
      <c r="B1281" s="132" t="s">
        <v>1233</v>
      </c>
      <c r="C1281" s="133" t="s">
        <v>1255</v>
      </c>
      <c r="D1281" s="133" t="s">
        <v>1256</v>
      </c>
      <c r="E1281" s="116"/>
      <c r="F1281" s="135">
        <v>0.137</v>
      </c>
      <c r="G1281" s="118"/>
    </row>
    <row r="1282">
      <c r="A1282" s="132">
        <v>1281.0</v>
      </c>
      <c r="B1282" s="132" t="s">
        <v>1233</v>
      </c>
      <c r="C1282" s="133" t="s">
        <v>1255</v>
      </c>
      <c r="D1282" s="133" t="s">
        <v>1257</v>
      </c>
      <c r="E1282" s="116"/>
      <c r="F1282" s="135">
        <v>0.137</v>
      </c>
      <c r="G1282" s="118"/>
    </row>
    <row r="1283">
      <c r="A1283" s="132">
        <v>1282.0</v>
      </c>
      <c r="B1283" s="132" t="s">
        <v>1233</v>
      </c>
      <c r="C1283" s="133" t="s">
        <v>1255</v>
      </c>
      <c r="D1283" s="133" t="s">
        <v>1258</v>
      </c>
      <c r="E1283" s="116"/>
      <c r="F1283" s="135">
        <v>0.137</v>
      </c>
      <c r="G1283" s="118"/>
    </row>
    <row r="1284">
      <c r="A1284" s="132">
        <v>1283.0</v>
      </c>
      <c r="B1284" s="132" t="s">
        <v>1233</v>
      </c>
      <c r="C1284" s="133" t="s">
        <v>1255</v>
      </c>
      <c r="D1284" s="133" t="s">
        <v>1259</v>
      </c>
      <c r="E1284" s="116"/>
      <c r="F1284" s="135">
        <v>0.137</v>
      </c>
      <c r="G1284" s="118"/>
    </row>
    <row r="1285">
      <c r="A1285" s="132">
        <v>1284.0</v>
      </c>
      <c r="B1285" s="132" t="s">
        <v>1233</v>
      </c>
      <c r="C1285" s="133" t="s">
        <v>1255</v>
      </c>
      <c r="D1285" s="133" t="s">
        <v>1260</v>
      </c>
      <c r="E1285" s="116"/>
      <c r="F1285" s="135">
        <v>0.137</v>
      </c>
      <c r="G1285" s="118"/>
    </row>
    <row r="1286">
      <c r="A1286" s="132">
        <v>1285.0</v>
      </c>
      <c r="B1286" s="132" t="s">
        <v>1233</v>
      </c>
      <c r="C1286" s="133" t="s">
        <v>1255</v>
      </c>
      <c r="D1286" s="133" t="s">
        <v>1261</v>
      </c>
      <c r="E1286" s="116"/>
      <c r="F1286" s="135">
        <v>0.137</v>
      </c>
      <c r="G1286" s="118"/>
    </row>
    <row r="1287">
      <c r="A1287" s="132">
        <v>1286.0</v>
      </c>
      <c r="B1287" s="132" t="s">
        <v>1233</v>
      </c>
      <c r="C1287" s="133" t="s">
        <v>1255</v>
      </c>
      <c r="D1287" s="133" t="s">
        <v>1262</v>
      </c>
      <c r="E1287" s="116"/>
      <c r="F1287" s="135">
        <v>0.137</v>
      </c>
      <c r="G1287" s="118"/>
    </row>
    <row r="1288">
      <c r="A1288" s="132">
        <v>1287.0</v>
      </c>
      <c r="B1288" s="132" t="s">
        <v>1233</v>
      </c>
      <c r="C1288" s="133" t="s">
        <v>1255</v>
      </c>
      <c r="D1288" s="133" t="s">
        <v>62</v>
      </c>
      <c r="E1288" s="116"/>
      <c r="F1288" s="135">
        <v>0.137</v>
      </c>
      <c r="G1288" s="118"/>
    </row>
    <row r="1289">
      <c r="A1289" s="132">
        <v>1288.0</v>
      </c>
      <c r="B1289" s="132" t="s">
        <v>1233</v>
      </c>
      <c r="C1289" s="133" t="s">
        <v>1255</v>
      </c>
      <c r="D1289" s="133" t="s">
        <v>1263</v>
      </c>
      <c r="E1289" s="116"/>
      <c r="F1289" s="135">
        <v>0.137</v>
      </c>
      <c r="G1289" s="118"/>
    </row>
    <row r="1290">
      <c r="A1290" s="132">
        <v>1289.0</v>
      </c>
      <c r="B1290" s="132" t="s">
        <v>1233</v>
      </c>
      <c r="C1290" s="133" t="s">
        <v>1255</v>
      </c>
      <c r="D1290" s="133" t="s">
        <v>1264</v>
      </c>
      <c r="E1290" s="116"/>
      <c r="F1290" s="135">
        <v>0.137</v>
      </c>
      <c r="G1290" s="118"/>
    </row>
    <row r="1291">
      <c r="A1291" s="132">
        <v>1290.0</v>
      </c>
      <c r="B1291" s="132" t="s">
        <v>1233</v>
      </c>
      <c r="C1291" s="133" t="s">
        <v>62</v>
      </c>
      <c r="D1291" s="134"/>
      <c r="E1291" s="116"/>
      <c r="F1291" s="135">
        <v>0.142</v>
      </c>
      <c r="G1291" s="118"/>
    </row>
    <row r="1292">
      <c r="A1292" s="132">
        <v>1291.0</v>
      </c>
      <c r="B1292" s="132" t="s">
        <v>1233</v>
      </c>
      <c r="C1292" s="133" t="s">
        <v>1265</v>
      </c>
      <c r="D1292" s="133" t="s">
        <v>1266</v>
      </c>
      <c r="E1292" s="116"/>
      <c r="F1292" s="135">
        <v>0.137</v>
      </c>
      <c r="G1292" s="118"/>
    </row>
    <row r="1293">
      <c r="A1293" s="132">
        <v>1292.0</v>
      </c>
      <c r="B1293" s="132" t="s">
        <v>1233</v>
      </c>
      <c r="C1293" s="133" t="s">
        <v>1265</v>
      </c>
      <c r="D1293" s="133" t="s">
        <v>1267</v>
      </c>
      <c r="E1293" s="116"/>
      <c r="F1293" s="135">
        <v>0.142</v>
      </c>
      <c r="G1293" s="118"/>
    </row>
    <row r="1294">
      <c r="A1294" s="132">
        <v>1293.0</v>
      </c>
      <c r="B1294" s="132" t="s">
        <v>1233</v>
      </c>
      <c r="C1294" s="133" t="s">
        <v>1265</v>
      </c>
      <c r="D1294" s="133" t="s">
        <v>1268</v>
      </c>
      <c r="E1294" s="116"/>
      <c r="F1294" s="135">
        <v>0.137</v>
      </c>
      <c r="G1294" s="118"/>
    </row>
    <row r="1295">
      <c r="A1295" s="132">
        <v>1294.0</v>
      </c>
      <c r="B1295" s="132" t="s">
        <v>1233</v>
      </c>
      <c r="C1295" s="133" t="s">
        <v>1265</v>
      </c>
      <c r="D1295" s="133" t="s">
        <v>1269</v>
      </c>
      <c r="E1295" s="116"/>
      <c r="F1295" s="135">
        <v>0.142</v>
      </c>
      <c r="G1295" s="118"/>
    </row>
    <row r="1296">
      <c r="A1296" s="132">
        <v>1295.0</v>
      </c>
      <c r="B1296" s="132" t="s">
        <v>1233</v>
      </c>
      <c r="C1296" s="133" t="s">
        <v>1265</v>
      </c>
      <c r="D1296" s="133" t="s">
        <v>1270</v>
      </c>
      <c r="E1296" s="116"/>
      <c r="F1296" s="135">
        <v>0.137</v>
      </c>
      <c r="G1296" s="118"/>
    </row>
    <row r="1297">
      <c r="A1297" s="132">
        <v>1296.0</v>
      </c>
      <c r="B1297" s="132" t="s">
        <v>1233</v>
      </c>
      <c r="C1297" s="133" t="s">
        <v>1265</v>
      </c>
      <c r="D1297" s="133" t="s">
        <v>1271</v>
      </c>
      <c r="E1297" s="116"/>
      <c r="F1297" s="135">
        <v>0.142</v>
      </c>
      <c r="G1297" s="118"/>
    </row>
    <row r="1298">
      <c r="A1298" s="132">
        <v>1297.0</v>
      </c>
      <c r="B1298" s="132" t="s">
        <v>1233</v>
      </c>
      <c r="C1298" s="133" t="s">
        <v>1265</v>
      </c>
      <c r="D1298" s="133" t="s">
        <v>1272</v>
      </c>
      <c r="E1298" s="116"/>
      <c r="F1298" s="135">
        <v>0.142</v>
      </c>
      <c r="G1298" s="118"/>
    </row>
    <row r="1299">
      <c r="A1299" s="132">
        <v>1298.0</v>
      </c>
      <c r="B1299" s="132" t="s">
        <v>1233</v>
      </c>
      <c r="C1299" s="133" t="s">
        <v>1265</v>
      </c>
      <c r="D1299" s="133" t="s">
        <v>1273</v>
      </c>
      <c r="E1299" s="116"/>
      <c r="F1299" s="135">
        <v>0.137</v>
      </c>
      <c r="G1299" s="118"/>
    </row>
    <row r="1300">
      <c r="A1300" s="132">
        <v>1299.0</v>
      </c>
      <c r="B1300" s="132" t="s">
        <v>1233</v>
      </c>
      <c r="C1300" s="133" t="s">
        <v>1265</v>
      </c>
      <c r="D1300" s="133" t="s">
        <v>1274</v>
      </c>
      <c r="E1300" s="116"/>
      <c r="F1300" s="135">
        <v>0.137</v>
      </c>
      <c r="G1300" s="118"/>
    </row>
    <row r="1301">
      <c r="A1301" s="132">
        <v>1300.0</v>
      </c>
      <c r="B1301" s="132" t="s">
        <v>1233</v>
      </c>
      <c r="C1301" s="133" t="s">
        <v>1265</v>
      </c>
      <c r="D1301" s="133" t="s">
        <v>62</v>
      </c>
      <c r="E1301" s="116"/>
      <c r="F1301" s="135">
        <v>0.142</v>
      </c>
      <c r="G1301" s="118"/>
    </row>
    <row r="1302">
      <c r="A1302" s="132">
        <v>1301.0</v>
      </c>
      <c r="B1302" s="132" t="s">
        <v>1233</v>
      </c>
      <c r="C1302" s="133" t="s">
        <v>1265</v>
      </c>
      <c r="D1302" s="133" t="s">
        <v>1275</v>
      </c>
      <c r="E1302" s="116"/>
      <c r="F1302" s="135">
        <v>0.142</v>
      </c>
      <c r="G1302" s="118"/>
    </row>
    <row r="1303">
      <c r="A1303" s="132">
        <v>1302.0</v>
      </c>
      <c r="B1303" s="132" t="s">
        <v>1233</v>
      </c>
      <c r="C1303" s="133" t="s">
        <v>1265</v>
      </c>
      <c r="D1303" s="133" t="s">
        <v>1276</v>
      </c>
      <c r="E1303" s="116"/>
      <c r="F1303" s="135">
        <v>0.137</v>
      </c>
      <c r="G1303" s="118"/>
    </row>
    <row r="1304">
      <c r="A1304" s="132">
        <v>1303.0</v>
      </c>
      <c r="B1304" s="132" t="s">
        <v>1233</v>
      </c>
      <c r="C1304" s="133" t="s">
        <v>1265</v>
      </c>
      <c r="D1304" s="133" t="s">
        <v>1277</v>
      </c>
      <c r="E1304" s="116"/>
      <c r="F1304" s="135">
        <v>0.137</v>
      </c>
      <c r="G1304" s="118"/>
    </row>
    <row r="1305">
      <c r="A1305" s="132">
        <v>1304.0</v>
      </c>
      <c r="B1305" s="132" t="s">
        <v>1233</v>
      </c>
      <c r="C1305" s="133" t="s">
        <v>1265</v>
      </c>
      <c r="D1305" s="133" t="s">
        <v>1278</v>
      </c>
      <c r="E1305" s="116"/>
      <c r="F1305" s="135">
        <v>0.142</v>
      </c>
      <c r="G1305" s="118"/>
    </row>
    <row r="1306">
      <c r="A1306" s="132">
        <v>1305.0</v>
      </c>
      <c r="B1306" s="132" t="s">
        <v>1233</v>
      </c>
      <c r="C1306" s="133" t="s">
        <v>1265</v>
      </c>
      <c r="D1306" s="133" t="s">
        <v>1279</v>
      </c>
      <c r="E1306" s="116"/>
      <c r="F1306" s="135">
        <v>0.137</v>
      </c>
      <c r="G1306" s="118"/>
    </row>
    <row r="1307">
      <c r="A1307" s="132">
        <v>1306.0</v>
      </c>
      <c r="B1307" s="132" t="s">
        <v>1233</v>
      </c>
      <c r="C1307" s="133" t="s">
        <v>1265</v>
      </c>
      <c r="D1307" s="133" t="s">
        <v>1280</v>
      </c>
      <c r="E1307" s="116"/>
      <c r="F1307" s="135">
        <v>0.137</v>
      </c>
      <c r="G1307" s="118"/>
    </row>
    <row r="1308">
      <c r="A1308" s="132">
        <v>1307.0</v>
      </c>
      <c r="B1308" s="132" t="s">
        <v>1233</v>
      </c>
      <c r="C1308" s="133" t="s">
        <v>1265</v>
      </c>
      <c r="D1308" s="133" t="s">
        <v>1281</v>
      </c>
      <c r="E1308" s="116"/>
      <c r="F1308" s="135">
        <v>0.137</v>
      </c>
      <c r="G1308" s="118"/>
    </row>
    <row r="1309">
      <c r="A1309" s="132">
        <v>1308.0</v>
      </c>
      <c r="B1309" s="132" t="s">
        <v>1233</v>
      </c>
      <c r="C1309" s="133" t="s">
        <v>1265</v>
      </c>
      <c r="D1309" s="133" t="s">
        <v>1282</v>
      </c>
      <c r="E1309" s="116"/>
      <c r="F1309" s="135">
        <v>0.137</v>
      </c>
      <c r="G1309" s="118"/>
    </row>
    <row r="1310">
      <c r="A1310" s="132">
        <v>1309.0</v>
      </c>
      <c r="B1310" s="132" t="s">
        <v>1233</v>
      </c>
      <c r="C1310" s="133" t="s">
        <v>1283</v>
      </c>
      <c r="D1310" s="133" t="s">
        <v>1284</v>
      </c>
      <c r="E1310" s="116"/>
      <c r="F1310" s="135">
        <v>0.137</v>
      </c>
      <c r="G1310" s="118"/>
    </row>
    <row r="1311">
      <c r="A1311" s="132">
        <v>1310.0</v>
      </c>
      <c r="B1311" s="132" t="s">
        <v>1233</v>
      </c>
      <c r="C1311" s="133" t="s">
        <v>1283</v>
      </c>
      <c r="D1311" s="133" t="s">
        <v>1285</v>
      </c>
      <c r="E1311" s="116"/>
      <c r="F1311" s="135">
        <v>0.137</v>
      </c>
      <c r="G1311" s="118"/>
    </row>
    <row r="1312">
      <c r="A1312" s="132">
        <v>1311.0</v>
      </c>
      <c r="B1312" s="132" t="s">
        <v>1233</v>
      </c>
      <c r="C1312" s="133" t="s">
        <v>1283</v>
      </c>
      <c r="D1312" s="133" t="s">
        <v>1286</v>
      </c>
      <c r="E1312" s="116"/>
      <c r="F1312" s="135">
        <v>0.137</v>
      </c>
      <c r="G1312" s="118"/>
    </row>
    <row r="1313">
      <c r="A1313" s="132">
        <v>1312.0</v>
      </c>
      <c r="B1313" s="132" t="s">
        <v>1233</v>
      </c>
      <c r="C1313" s="133" t="s">
        <v>1283</v>
      </c>
      <c r="D1313" s="133" t="s">
        <v>62</v>
      </c>
      <c r="E1313" s="116"/>
      <c r="F1313" s="135">
        <v>0.137</v>
      </c>
      <c r="G1313" s="118"/>
    </row>
    <row r="1314">
      <c r="A1314" s="132">
        <v>1313.0</v>
      </c>
      <c r="B1314" s="132" t="s">
        <v>1233</v>
      </c>
      <c r="C1314" s="133" t="s">
        <v>1283</v>
      </c>
      <c r="D1314" s="133" t="s">
        <v>1287</v>
      </c>
      <c r="E1314" s="116"/>
      <c r="F1314" s="135">
        <v>0.137</v>
      </c>
      <c r="G1314" s="118"/>
    </row>
    <row r="1315">
      <c r="A1315" s="132">
        <v>1314.0</v>
      </c>
      <c r="B1315" s="132" t="s">
        <v>1233</v>
      </c>
      <c r="C1315" s="133" t="s">
        <v>1283</v>
      </c>
      <c r="D1315" s="133" t="s">
        <v>1288</v>
      </c>
      <c r="E1315" s="116"/>
      <c r="F1315" s="135">
        <v>0.137</v>
      </c>
      <c r="G1315" s="118"/>
    </row>
    <row r="1316">
      <c r="A1316" s="137"/>
      <c r="B1316" s="138"/>
      <c r="C1316" s="133"/>
      <c r="D1316" s="133"/>
      <c r="E1316" s="116"/>
      <c r="F1316" s="139"/>
      <c r="G1316" s="118"/>
    </row>
    <row r="1317">
      <c r="A1317" s="137"/>
      <c r="B1317" s="138"/>
      <c r="C1317" s="133"/>
      <c r="D1317" s="133"/>
      <c r="E1317" s="116"/>
      <c r="F1317" s="139"/>
      <c r="G1317" s="118"/>
    </row>
    <row r="1318">
      <c r="A1318" s="137"/>
      <c r="B1318" s="138"/>
      <c r="C1318" s="133"/>
      <c r="D1318" s="133"/>
      <c r="E1318" s="116"/>
      <c r="F1318" s="139"/>
      <c r="G1318" s="118"/>
    </row>
    <row r="1319">
      <c r="A1319" s="137"/>
      <c r="B1319" s="138"/>
      <c r="C1319" s="133"/>
      <c r="D1319" s="133"/>
      <c r="E1319" s="116"/>
      <c r="F1319" s="139"/>
      <c r="G1319" s="118"/>
    </row>
    <row r="1320">
      <c r="A1320" s="137"/>
      <c r="B1320" s="138"/>
      <c r="C1320" s="133"/>
      <c r="D1320" s="133"/>
      <c r="E1320" s="116"/>
      <c r="F1320" s="139"/>
      <c r="G1320" s="118"/>
    </row>
    <row r="1321">
      <c r="A1321" s="137"/>
      <c r="B1321" s="138"/>
      <c r="C1321" s="133"/>
      <c r="D1321" s="133"/>
      <c r="E1321" s="116"/>
      <c r="F1321" s="139"/>
      <c r="G1321" s="118"/>
    </row>
    <row r="1322">
      <c r="A1322" s="137"/>
      <c r="B1322" s="138"/>
      <c r="C1322" s="133"/>
      <c r="D1322" s="133"/>
      <c r="E1322" s="116"/>
      <c r="F1322" s="139"/>
      <c r="G1322" s="118"/>
    </row>
    <row r="1323">
      <c r="A1323" s="137"/>
      <c r="B1323" s="138"/>
      <c r="C1323" s="133"/>
      <c r="D1323" s="133"/>
      <c r="E1323" s="116"/>
      <c r="F1323" s="139"/>
      <c r="G1323" s="118"/>
    </row>
    <row r="1324">
      <c r="A1324" s="137"/>
      <c r="B1324" s="138"/>
      <c r="C1324" s="133"/>
      <c r="D1324" s="133"/>
      <c r="E1324" s="116"/>
      <c r="F1324" s="139"/>
      <c r="G1324" s="118"/>
    </row>
    <row r="1325">
      <c r="A1325" s="137"/>
      <c r="B1325" s="138"/>
      <c r="C1325" s="133"/>
      <c r="D1325" s="133"/>
      <c r="E1325" s="116"/>
      <c r="F1325" s="139"/>
      <c r="G1325" s="118"/>
    </row>
    <row r="1326">
      <c r="A1326" s="137"/>
      <c r="B1326" s="138"/>
      <c r="C1326" s="133"/>
      <c r="D1326" s="140"/>
      <c r="E1326" s="116"/>
      <c r="F1326" s="139"/>
      <c r="G1326" s="118"/>
    </row>
    <row r="1327">
      <c r="A1327" s="137"/>
      <c r="B1327" s="138"/>
      <c r="C1327" s="133"/>
      <c r="D1327" s="133"/>
      <c r="E1327" s="116"/>
      <c r="F1327" s="138"/>
      <c r="G1327" s="118"/>
    </row>
    <row r="1328">
      <c r="A1328" s="137"/>
      <c r="B1328" s="138"/>
      <c r="C1328" s="133"/>
      <c r="D1328" s="133"/>
      <c r="E1328" s="116"/>
      <c r="F1328" s="138"/>
      <c r="G1328" s="118"/>
    </row>
    <row r="1329">
      <c r="A1329" s="137"/>
      <c r="B1329" s="138"/>
      <c r="C1329" s="133"/>
      <c r="D1329" s="133"/>
      <c r="E1329" s="116"/>
      <c r="F1329" s="138"/>
      <c r="G1329" s="118"/>
    </row>
    <row r="1330">
      <c r="A1330" s="137"/>
      <c r="B1330" s="138"/>
      <c r="C1330" s="133"/>
      <c r="D1330" s="133"/>
      <c r="E1330" s="116"/>
      <c r="F1330" s="138"/>
      <c r="G1330" s="118"/>
    </row>
    <row r="1331">
      <c r="A1331" s="137"/>
      <c r="B1331" s="138"/>
      <c r="C1331" s="133"/>
      <c r="D1331" s="133"/>
      <c r="E1331" s="116"/>
      <c r="F1331" s="138"/>
      <c r="G1331" s="118"/>
    </row>
    <row r="1332">
      <c r="A1332" s="137"/>
      <c r="B1332" s="138"/>
      <c r="C1332" s="133"/>
      <c r="D1332" s="133"/>
      <c r="E1332" s="116"/>
      <c r="F1332" s="139"/>
      <c r="G1332" s="118"/>
    </row>
    <row r="1333">
      <c r="A1333" s="137"/>
      <c r="B1333" s="138"/>
      <c r="C1333" s="133"/>
      <c r="D1333" s="133"/>
      <c r="E1333" s="116"/>
      <c r="F1333" s="139"/>
      <c r="G1333" s="118"/>
    </row>
    <row r="1334">
      <c r="A1334" s="137"/>
      <c r="B1334" s="138"/>
      <c r="C1334" s="133"/>
      <c r="D1334" s="133"/>
      <c r="E1334" s="116"/>
      <c r="F1334" s="139"/>
      <c r="G1334" s="118"/>
    </row>
    <row r="1335">
      <c r="A1335" s="137"/>
      <c r="B1335" s="138"/>
      <c r="C1335" s="133"/>
      <c r="D1335" s="133"/>
      <c r="E1335" s="116"/>
      <c r="F1335" s="139"/>
      <c r="G1335" s="118"/>
    </row>
    <row r="1336">
      <c r="A1336" s="137"/>
      <c r="B1336" s="138"/>
      <c r="C1336" s="133"/>
      <c r="D1336" s="133"/>
      <c r="E1336" s="116"/>
      <c r="F1336" s="139"/>
      <c r="G1336" s="118"/>
    </row>
    <row r="1337">
      <c r="A1337" s="137"/>
      <c r="B1337" s="138"/>
      <c r="C1337" s="133"/>
      <c r="D1337" s="133"/>
      <c r="E1337" s="116"/>
      <c r="F1337" s="141"/>
      <c r="G1337" s="118"/>
    </row>
    <row r="1338">
      <c r="A1338" s="137"/>
      <c r="B1338" s="138"/>
      <c r="C1338" s="133"/>
      <c r="D1338" s="133"/>
      <c r="E1338" s="116"/>
      <c r="F1338" s="138"/>
      <c r="G1338" s="118"/>
    </row>
    <row r="1339">
      <c r="A1339" s="137"/>
      <c r="B1339" s="138"/>
      <c r="C1339" s="133"/>
      <c r="D1339" s="133"/>
      <c r="E1339" s="116"/>
      <c r="F1339" s="138"/>
      <c r="G1339" s="118"/>
    </row>
    <row r="1340">
      <c r="A1340" s="137"/>
      <c r="B1340" s="138"/>
      <c r="C1340" s="133"/>
      <c r="D1340" s="133"/>
      <c r="E1340" s="116"/>
      <c r="F1340" s="138"/>
      <c r="G1340" s="118"/>
    </row>
    <row r="1341">
      <c r="A1341" s="137"/>
      <c r="B1341" s="138"/>
      <c r="C1341" s="133"/>
      <c r="D1341" s="133"/>
      <c r="E1341" s="116"/>
      <c r="F1341" s="138"/>
      <c r="G1341" s="118"/>
    </row>
    <row r="1342">
      <c r="A1342" s="137"/>
      <c r="B1342" s="138"/>
      <c r="C1342" s="133"/>
      <c r="D1342" s="133"/>
      <c r="E1342" s="116"/>
      <c r="F1342" s="138"/>
      <c r="G1342" s="118"/>
    </row>
    <row r="1343">
      <c r="A1343" s="137"/>
      <c r="B1343" s="138"/>
      <c r="C1343" s="133"/>
      <c r="D1343" s="133"/>
      <c r="E1343" s="116"/>
      <c r="F1343" s="139"/>
      <c r="G1343" s="118"/>
    </row>
    <row r="1344">
      <c r="A1344" s="137"/>
      <c r="B1344" s="138"/>
      <c r="C1344" s="133"/>
      <c r="D1344" s="133"/>
      <c r="E1344" s="116"/>
      <c r="F1344" s="138"/>
      <c r="G1344" s="118"/>
    </row>
    <row r="1345">
      <c r="A1345" s="137"/>
      <c r="B1345" s="138"/>
      <c r="C1345" s="133"/>
      <c r="D1345" s="133"/>
      <c r="E1345" s="116"/>
      <c r="F1345" s="138"/>
      <c r="G1345" s="118"/>
    </row>
    <row r="1346">
      <c r="A1346" s="137"/>
      <c r="B1346" s="138"/>
      <c r="C1346" s="133"/>
      <c r="D1346" s="133"/>
      <c r="E1346" s="116"/>
      <c r="F1346" s="138"/>
      <c r="G1346" s="118"/>
    </row>
    <row r="1347">
      <c r="A1347" s="137"/>
      <c r="B1347" s="138"/>
      <c r="C1347" s="133"/>
      <c r="D1347" s="133"/>
      <c r="E1347" s="116"/>
      <c r="F1347" s="139"/>
      <c r="G1347" s="118"/>
    </row>
    <row r="1348">
      <c r="A1348" s="137"/>
      <c r="B1348" s="138"/>
      <c r="C1348" s="133"/>
      <c r="D1348" s="133"/>
      <c r="E1348" s="116"/>
      <c r="F1348" s="139"/>
      <c r="G1348" s="118"/>
    </row>
    <row r="1349">
      <c r="A1349" s="137"/>
      <c r="B1349" s="138"/>
      <c r="C1349" s="133"/>
      <c r="D1349" s="133"/>
      <c r="E1349" s="116"/>
      <c r="F1349" s="139"/>
      <c r="G1349" s="118"/>
    </row>
    <row r="1350">
      <c r="A1350" s="137"/>
      <c r="B1350" s="138"/>
      <c r="C1350" s="133"/>
      <c r="D1350" s="133"/>
      <c r="E1350" s="116"/>
      <c r="F1350" s="139"/>
      <c r="G1350" s="118"/>
    </row>
    <row r="1351">
      <c r="A1351" s="137"/>
      <c r="B1351" s="138"/>
      <c r="C1351" s="133"/>
      <c r="D1351" s="133"/>
      <c r="E1351" s="116"/>
      <c r="F1351" s="138"/>
      <c r="G1351" s="118"/>
    </row>
    <row r="1352">
      <c r="A1352" s="137"/>
      <c r="B1352" s="138"/>
      <c r="C1352" s="133"/>
      <c r="D1352" s="133"/>
      <c r="E1352" s="116"/>
      <c r="F1352" s="138"/>
      <c r="G1352" s="118"/>
    </row>
    <row r="1353">
      <c r="A1353" s="137"/>
      <c r="B1353" s="138"/>
      <c r="C1353" s="133"/>
      <c r="D1353" s="133"/>
      <c r="E1353" s="116"/>
      <c r="F1353" s="138"/>
      <c r="G1353" s="118"/>
    </row>
    <row r="1354">
      <c r="A1354" s="137"/>
      <c r="B1354" s="138"/>
      <c r="C1354" s="133"/>
      <c r="D1354" s="133"/>
      <c r="E1354" s="116"/>
      <c r="F1354" s="138"/>
      <c r="G1354" s="118"/>
    </row>
    <row r="1355">
      <c r="A1355" s="137"/>
      <c r="B1355" s="138"/>
      <c r="C1355" s="133"/>
      <c r="D1355" s="133"/>
      <c r="E1355" s="116"/>
      <c r="F1355" s="139"/>
      <c r="G1355" s="118"/>
    </row>
    <row r="1356">
      <c r="A1356" s="137"/>
      <c r="B1356" s="138"/>
      <c r="C1356" s="133"/>
      <c r="D1356" s="133"/>
      <c r="E1356" s="116"/>
      <c r="F1356" s="139"/>
      <c r="G1356" s="118"/>
    </row>
    <row r="1357">
      <c r="A1357" s="137"/>
      <c r="B1357" s="138"/>
      <c r="C1357" s="133"/>
      <c r="D1357" s="133"/>
      <c r="E1357" s="116"/>
      <c r="F1357" s="139"/>
      <c r="G1357" s="118"/>
    </row>
    <row r="1358">
      <c r="A1358" s="137"/>
      <c r="B1358" s="138"/>
      <c r="C1358" s="133"/>
      <c r="D1358" s="133"/>
      <c r="E1358" s="116"/>
      <c r="F1358" s="139"/>
      <c r="G1358" s="118"/>
    </row>
    <row r="1359">
      <c r="A1359" s="137"/>
      <c r="B1359" s="138"/>
      <c r="C1359" s="133"/>
      <c r="D1359" s="133"/>
      <c r="E1359" s="116"/>
      <c r="F1359" s="139"/>
      <c r="G1359" s="118"/>
    </row>
    <row r="1360">
      <c r="A1360" s="137"/>
      <c r="B1360" s="138"/>
      <c r="C1360" s="133"/>
      <c r="D1360" s="133"/>
      <c r="E1360" s="116"/>
      <c r="F1360" s="139"/>
      <c r="G1360" s="118"/>
    </row>
    <row r="1361">
      <c r="A1361" s="137"/>
      <c r="B1361" s="138"/>
      <c r="C1361" s="133"/>
      <c r="D1361" s="133"/>
      <c r="E1361" s="116"/>
      <c r="F1361" s="139"/>
      <c r="G1361" s="118"/>
    </row>
    <row r="1362">
      <c r="A1362" s="137"/>
      <c r="B1362" s="138"/>
      <c r="C1362" s="133"/>
      <c r="D1362" s="133"/>
      <c r="E1362" s="116"/>
      <c r="F1362" s="139"/>
      <c r="G1362" s="118"/>
    </row>
    <row r="1363">
      <c r="A1363" s="137"/>
      <c r="B1363" s="138"/>
      <c r="C1363" s="133"/>
      <c r="D1363" s="140"/>
      <c r="E1363" s="116"/>
      <c r="F1363" s="139"/>
      <c r="G1363" s="118"/>
    </row>
    <row r="1364">
      <c r="A1364" s="137"/>
      <c r="B1364" s="138"/>
      <c r="C1364" s="133"/>
      <c r="D1364" s="133"/>
      <c r="E1364" s="116"/>
      <c r="F1364" s="138"/>
      <c r="G1364" s="118"/>
    </row>
    <row r="1365">
      <c r="A1365" s="137"/>
      <c r="B1365" s="138"/>
      <c r="C1365" s="133"/>
      <c r="D1365" s="133"/>
      <c r="E1365" s="116"/>
      <c r="F1365" s="138"/>
      <c r="G1365" s="118"/>
    </row>
    <row r="1366">
      <c r="A1366" s="137"/>
      <c r="B1366" s="138"/>
      <c r="C1366" s="133"/>
      <c r="D1366" s="133"/>
      <c r="E1366" s="116"/>
      <c r="F1366" s="138"/>
      <c r="G1366" s="118"/>
    </row>
    <row r="1367">
      <c r="A1367" s="137"/>
      <c r="B1367" s="138"/>
      <c r="C1367" s="133"/>
      <c r="D1367" s="133"/>
      <c r="E1367" s="116"/>
      <c r="F1367" s="138"/>
      <c r="G1367" s="118"/>
    </row>
    <row r="1368">
      <c r="A1368" s="137"/>
      <c r="B1368" s="138"/>
      <c r="C1368" s="133"/>
      <c r="D1368" s="133"/>
      <c r="E1368" s="116"/>
      <c r="F1368" s="138"/>
      <c r="G1368" s="118"/>
    </row>
    <row r="1369">
      <c r="A1369" s="137"/>
      <c r="B1369" s="138"/>
      <c r="C1369" s="133"/>
      <c r="D1369" s="133"/>
      <c r="E1369" s="116"/>
      <c r="F1369" s="139"/>
      <c r="G1369" s="118"/>
    </row>
    <row r="1370">
      <c r="A1370" s="137"/>
      <c r="B1370" s="138"/>
      <c r="C1370" s="133"/>
      <c r="D1370" s="133"/>
      <c r="E1370" s="116"/>
      <c r="F1370" s="139"/>
      <c r="G1370" s="118"/>
    </row>
    <row r="1371">
      <c r="A1371" s="137"/>
      <c r="B1371" s="138"/>
      <c r="C1371" s="133"/>
      <c r="D1371" s="133"/>
      <c r="E1371" s="116"/>
      <c r="F1371" s="138"/>
      <c r="G1371" s="118"/>
    </row>
    <row r="1372">
      <c r="A1372" s="137"/>
      <c r="B1372" s="138"/>
      <c r="C1372" s="133"/>
      <c r="D1372" s="133"/>
      <c r="E1372" s="116"/>
      <c r="F1372" s="138"/>
      <c r="G1372" s="118"/>
    </row>
    <row r="1373">
      <c r="A1373" s="137"/>
      <c r="B1373" s="138"/>
      <c r="C1373" s="133"/>
      <c r="D1373" s="133"/>
      <c r="E1373" s="116"/>
      <c r="F1373" s="138"/>
      <c r="G1373" s="118"/>
    </row>
    <row r="1374">
      <c r="A1374" s="137"/>
      <c r="B1374" s="138"/>
      <c r="C1374" s="133"/>
      <c r="D1374" s="133"/>
      <c r="E1374" s="116"/>
      <c r="F1374" s="138"/>
      <c r="G1374" s="118"/>
    </row>
    <row r="1375">
      <c r="A1375" s="137"/>
      <c r="B1375" s="138"/>
      <c r="C1375" s="133"/>
      <c r="D1375" s="133"/>
      <c r="E1375" s="116"/>
      <c r="F1375" s="138"/>
      <c r="G1375" s="118"/>
    </row>
    <row r="1376">
      <c r="A1376" s="137"/>
      <c r="B1376" s="138"/>
      <c r="C1376" s="133"/>
      <c r="D1376" s="133"/>
      <c r="E1376" s="116"/>
      <c r="F1376" s="138"/>
      <c r="G1376" s="118"/>
    </row>
    <row r="1377">
      <c r="A1377" s="137"/>
      <c r="B1377" s="138"/>
      <c r="C1377" s="133"/>
      <c r="D1377" s="133"/>
      <c r="E1377" s="116"/>
      <c r="F1377" s="138"/>
      <c r="G1377" s="118"/>
    </row>
    <row r="1378">
      <c r="A1378" s="137"/>
      <c r="B1378" s="138"/>
      <c r="C1378" s="133"/>
      <c r="D1378" s="133"/>
      <c r="E1378" s="116"/>
      <c r="F1378" s="139"/>
      <c r="G1378" s="118"/>
    </row>
    <row r="1379">
      <c r="A1379" s="137"/>
      <c r="B1379" s="138"/>
      <c r="C1379" s="133"/>
      <c r="D1379" s="133"/>
      <c r="E1379" s="116"/>
      <c r="F1379" s="139"/>
      <c r="G1379" s="118"/>
    </row>
    <row r="1380">
      <c r="A1380" s="137"/>
      <c r="B1380" s="138"/>
      <c r="C1380" s="133"/>
      <c r="D1380" s="133"/>
      <c r="E1380" s="116"/>
      <c r="F1380" s="139"/>
      <c r="G1380" s="118"/>
    </row>
    <row r="1381">
      <c r="A1381" s="137"/>
      <c r="B1381" s="138"/>
      <c r="C1381" s="133"/>
      <c r="D1381" s="133"/>
      <c r="E1381" s="116"/>
      <c r="F1381" s="138"/>
      <c r="G1381" s="118"/>
    </row>
    <row r="1382">
      <c r="A1382" s="137"/>
      <c r="B1382" s="138"/>
      <c r="C1382" s="133"/>
      <c r="D1382" s="133"/>
      <c r="E1382" s="116"/>
      <c r="F1382" s="138"/>
      <c r="G1382" s="118"/>
    </row>
    <row r="1383">
      <c r="A1383" s="137"/>
      <c r="B1383" s="138"/>
      <c r="C1383" s="133"/>
      <c r="D1383" s="133"/>
      <c r="E1383" s="116"/>
      <c r="F1383" s="138"/>
      <c r="G1383" s="118"/>
    </row>
    <row r="1384">
      <c r="A1384" s="137"/>
      <c r="B1384" s="138"/>
      <c r="C1384" s="133"/>
      <c r="D1384" s="133"/>
      <c r="E1384" s="116"/>
      <c r="F1384" s="138"/>
      <c r="G1384" s="118"/>
    </row>
    <row r="1385">
      <c r="A1385" s="137"/>
      <c r="B1385" s="138"/>
      <c r="C1385" s="133"/>
      <c r="D1385" s="133"/>
      <c r="E1385" s="116"/>
      <c r="F1385" s="139"/>
      <c r="G1385" s="118"/>
    </row>
    <row r="1386">
      <c r="A1386" s="137"/>
      <c r="B1386" s="138"/>
      <c r="C1386" s="133"/>
      <c r="D1386" s="133"/>
      <c r="E1386" s="116"/>
      <c r="F1386" s="139"/>
      <c r="G1386" s="118"/>
    </row>
    <row r="1387">
      <c r="A1387" s="137"/>
      <c r="B1387" s="138"/>
      <c r="C1387" s="133"/>
      <c r="D1387" s="133"/>
      <c r="E1387" s="116"/>
      <c r="F1387" s="139"/>
      <c r="G1387" s="118"/>
    </row>
    <row r="1388">
      <c r="A1388" s="137"/>
      <c r="B1388" s="138"/>
      <c r="C1388" s="133"/>
      <c r="D1388" s="133"/>
      <c r="E1388" s="116"/>
      <c r="F1388" s="139"/>
      <c r="G1388" s="118"/>
    </row>
    <row r="1389">
      <c r="A1389" s="137"/>
      <c r="B1389" s="138"/>
      <c r="C1389" s="133"/>
      <c r="D1389" s="133"/>
      <c r="E1389" s="116"/>
      <c r="F1389" s="139"/>
      <c r="G1389" s="118"/>
    </row>
    <row r="1390">
      <c r="A1390" s="137"/>
      <c r="B1390" s="138"/>
      <c r="C1390" s="133"/>
      <c r="D1390" s="133"/>
      <c r="E1390" s="116"/>
      <c r="F1390" s="139"/>
      <c r="G1390" s="118"/>
    </row>
    <row r="1391">
      <c r="A1391" s="137"/>
      <c r="B1391" s="138"/>
      <c r="C1391" s="133"/>
      <c r="D1391" s="133"/>
      <c r="E1391" s="116"/>
      <c r="F1391" s="139"/>
      <c r="G1391" s="118"/>
    </row>
    <row r="1392">
      <c r="A1392" s="137"/>
      <c r="B1392" s="138"/>
      <c r="C1392" s="133"/>
      <c r="D1392" s="133"/>
      <c r="E1392" s="116"/>
      <c r="F1392" s="139"/>
      <c r="G1392" s="118"/>
    </row>
    <row r="1393">
      <c r="A1393" s="137"/>
      <c r="B1393" s="138"/>
      <c r="C1393" s="133"/>
      <c r="D1393" s="133"/>
      <c r="E1393" s="116"/>
      <c r="F1393" s="138"/>
      <c r="G1393" s="118"/>
    </row>
    <row r="1394">
      <c r="A1394" s="137"/>
      <c r="B1394" s="138"/>
      <c r="C1394" s="133"/>
      <c r="D1394" s="133"/>
      <c r="E1394" s="116"/>
      <c r="F1394" s="138"/>
      <c r="G1394" s="118"/>
    </row>
    <row r="1395">
      <c r="A1395" s="137"/>
      <c r="B1395" s="138"/>
      <c r="C1395" s="133"/>
      <c r="D1395" s="133"/>
      <c r="E1395" s="116"/>
      <c r="F1395" s="138"/>
      <c r="G1395" s="118"/>
    </row>
    <row r="1396">
      <c r="A1396" s="137"/>
      <c r="B1396" s="138"/>
      <c r="C1396" s="133"/>
      <c r="D1396" s="133"/>
      <c r="E1396" s="116"/>
      <c r="F1396" s="138"/>
      <c r="G1396" s="118"/>
    </row>
    <row r="1397">
      <c r="A1397" s="137"/>
      <c r="B1397" s="138"/>
      <c r="C1397" s="133"/>
      <c r="D1397" s="133"/>
      <c r="E1397" s="116"/>
      <c r="F1397" s="138"/>
      <c r="G1397" s="118"/>
    </row>
    <row r="1398">
      <c r="A1398" s="137"/>
      <c r="B1398" s="138"/>
      <c r="C1398" s="133"/>
      <c r="D1398" s="133"/>
      <c r="E1398" s="116"/>
      <c r="F1398" s="138"/>
      <c r="G1398" s="118"/>
    </row>
    <row r="1399">
      <c r="A1399" s="137"/>
      <c r="B1399" s="138"/>
      <c r="C1399" s="133"/>
      <c r="D1399" s="133"/>
      <c r="E1399" s="116"/>
      <c r="F1399" s="139"/>
      <c r="G1399" s="118"/>
    </row>
    <row r="1400">
      <c r="A1400" s="137"/>
      <c r="B1400" s="138"/>
      <c r="C1400" s="133"/>
      <c r="D1400" s="133"/>
      <c r="E1400" s="116"/>
      <c r="F1400" s="139"/>
      <c r="G1400" s="118"/>
    </row>
    <row r="1401">
      <c r="A1401" s="137"/>
      <c r="B1401" s="138"/>
      <c r="C1401" s="133"/>
      <c r="D1401" s="133"/>
      <c r="E1401" s="116"/>
      <c r="F1401" s="139"/>
      <c r="G1401" s="118"/>
    </row>
    <row r="1402">
      <c r="A1402" s="137"/>
      <c r="B1402" s="138"/>
      <c r="C1402" s="133"/>
      <c r="D1402" s="133"/>
      <c r="E1402" s="116"/>
      <c r="F1402" s="138"/>
      <c r="G1402" s="118"/>
    </row>
    <row r="1403">
      <c r="A1403" s="137"/>
      <c r="B1403" s="138"/>
      <c r="C1403" s="133"/>
      <c r="D1403" s="133"/>
      <c r="E1403" s="116"/>
      <c r="F1403" s="138"/>
      <c r="G1403" s="118"/>
    </row>
    <row r="1404">
      <c r="A1404" s="137"/>
      <c r="B1404" s="138"/>
      <c r="C1404" s="133"/>
      <c r="D1404" s="133"/>
      <c r="E1404" s="116"/>
      <c r="F1404" s="138"/>
      <c r="G1404" s="118"/>
    </row>
    <row r="1405">
      <c r="A1405" s="137"/>
      <c r="B1405" s="138"/>
      <c r="C1405" s="133"/>
      <c r="D1405" s="133"/>
      <c r="E1405" s="116"/>
      <c r="F1405" s="138"/>
      <c r="G1405" s="118"/>
    </row>
    <row r="1406">
      <c r="A1406" s="137"/>
      <c r="B1406" s="138"/>
      <c r="C1406" s="133"/>
      <c r="D1406" s="133"/>
      <c r="E1406" s="116"/>
      <c r="F1406" s="138"/>
      <c r="G1406" s="118"/>
    </row>
    <row r="1407">
      <c r="A1407" s="137"/>
      <c r="B1407" s="138"/>
      <c r="C1407" s="133"/>
      <c r="D1407" s="133"/>
      <c r="E1407" s="116"/>
      <c r="F1407" s="138"/>
      <c r="G1407" s="118"/>
    </row>
    <row r="1408">
      <c r="A1408" s="137"/>
      <c r="B1408" s="138"/>
      <c r="C1408" s="133"/>
      <c r="D1408" s="133"/>
      <c r="E1408" s="116"/>
      <c r="F1408" s="138"/>
      <c r="G1408" s="118"/>
    </row>
    <row r="1409">
      <c r="A1409" s="137"/>
      <c r="B1409" s="138"/>
      <c r="C1409" s="133"/>
      <c r="D1409" s="133"/>
      <c r="E1409" s="116"/>
      <c r="F1409" s="139"/>
      <c r="G1409" s="118"/>
    </row>
    <row r="1410">
      <c r="A1410" s="137"/>
      <c r="B1410" s="138"/>
      <c r="C1410" s="133"/>
      <c r="D1410" s="133"/>
      <c r="E1410" s="116"/>
      <c r="F1410" s="139"/>
      <c r="G1410" s="118"/>
    </row>
    <row r="1411">
      <c r="A1411" s="137"/>
      <c r="B1411" s="138"/>
      <c r="C1411" s="133"/>
      <c r="D1411" s="133"/>
      <c r="E1411" s="116"/>
      <c r="F1411" s="139"/>
      <c r="G1411" s="118"/>
    </row>
    <row r="1412">
      <c r="A1412" s="137"/>
      <c r="B1412" s="138"/>
      <c r="C1412" s="133"/>
      <c r="D1412" s="133"/>
      <c r="E1412" s="116"/>
      <c r="F1412" s="139"/>
      <c r="G1412" s="118"/>
    </row>
    <row r="1413">
      <c r="A1413" s="137"/>
      <c r="B1413" s="138"/>
      <c r="C1413" s="133"/>
      <c r="D1413" s="133"/>
      <c r="E1413" s="116"/>
      <c r="F1413" s="138"/>
      <c r="G1413" s="118"/>
    </row>
    <row r="1414">
      <c r="A1414" s="137"/>
      <c r="B1414" s="138"/>
      <c r="C1414" s="133"/>
      <c r="D1414" s="133"/>
      <c r="E1414" s="116"/>
      <c r="F1414" s="138"/>
      <c r="G1414" s="118"/>
    </row>
    <row r="1415">
      <c r="A1415" s="137"/>
      <c r="B1415" s="138"/>
      <c r="C1415" s="133"/>
      <c r="D1415" s="133"/>
      <c r="E1415" s="116"/>
      <c r="F1415" s="138"/>
      <c r="G1415" s="118"/>
    </row>
    <row r="1416">
      <c r="A1416" s="137"/>
      <c r="B1416" s="138"/>
      <c r="C1416" s="133"/>
      <c r="D1416" s="133"/>
      <c r="E1416" s="116"/>
      <c r="F1416" s="138"/>
      <c r="G1416" s="118"/>
    </row>
    <row r="1417">
      <c r="A1417" s="137"/>
      <c r="B1417" s="138"/>
      <c r="C1417" s="133"/>
      <c r="D1417" s="133"/>
      <c r="E1417" s="116"/>
      <c r="F1417" s="139"/>
      <c r="G1417" s="118"/>
    </row>
    <row r="1418">
      <c r="A1418" s="137"/>
      <c r="B1418" s="138"/>
      <c r="C1418" s="133"/>
      <c r="D1418" s="133"/>
      <c r="E1418" s="116"/>
      <c r="F1418" s="139"/>
      <c r="G1418" s="118"/>
    </row>
    <row r="1419">
      <c r="A1419" s="137"/>
      <c r="B1419" s="138"/>
      <c r="C1419" s="133"/>
      <c r="D1419" s="133"/>
      <c r="E1419" s="116"/>
      <c r="F1419" s="139"/>
      <c r="G1419" s="118"/>
    </row>
    <row r="1420">
      <c r="A1420" s="137"/>
      <c r="B1420" s="138"/>
      <c r="C1420" s="133"/>
      <c r="D1420" s="133"/>
      <c r="E1420" s="116"/>
      <c r="F1420" s="139"/>
      <c r="G1420" s="118"/>
    </row>
    <row r="1421">
      <c r="A1421" s="137"/>
      <c r="B1421" s="138"/>
      <c r="C1421" s="133"/>
      <c r="D1421" s="133"/>
      <c r="E1421" s="116"/>
      <c r="F1421" s="139"/>
      <c r="G1421" s="118"/>
    </row>
    <row r="1422">
      <c r="A1422" s="137"/>
      <c r="B1422" s="138"/>
      <c r="C1422" s="133"/>
      <c r="D1422" s="133"/>
      <c r="E1422" s="116"/>
      <c r="F1422" s="139"/>
      <c r="G1422" s="118"/>
    </row>
    <row r="1423">
      <c r="A1423" s="137"/>
      <c r="B1423" s="138"/>
      <c r="C1423" s="133"/>
      <c r="D1423" s="133"/>
      <c r="E1423" s="116"/>
      <c r="F1423" s="139"/>
      <c r="G1423" s="118"/>
    </row>
    <row r="1424">
      <c r="A1424" s="137"/>
      <c r="B1424" s="138"/>
      <c r="C1424" s="133"/>
      <c r="D1424" s="133"/>
      <c r="E1424" s="116"/>
      <c r="F1424" s="139"/>
      <c r="G1424" s="118"/>
    </row>
    <row r="1425">
      <c r="A1425" s="137"/>
      <c r="B1425" s="138"/>
      <c r="C1425" s="133"/>
      <c r="D1425" s="140"/>
      <c r="E1425" s="116"/>
      <c r="F1425" s="139"/>
      <c r="G1425" s="118"/>
    </row>
    <row r="1426">
      <c r="A1426" s="137"/>
      <c r="B1426" s="138"/>
      <c r="C1426" s="133"/>
      <c r="D1426" s="133"/>
      <c r="E1426" s="116"/>
      <c r="F1426" s="139"/>
      <c r="G1426" s="118"/>
    </row>
    <row r="1427">
      <c r="A1427" s="137"/>
      <c r="B1427" s="138"/>
      <c r="C1427" s="133"/>
      <c r="D1427" s="133"/>
      <c r="E1427" s="116"/>
      <c r="F1427" s="139"/>
      <c r="G1427" s="118"/>
    </row>
    <row r="1428">
      <c r="A1428" s="137"/>
      <c r="B1428" s="138"/>
      <c r="C1428" s="133"/>
      <c r="D1428" s="133"/>
      <c r="E1428" s="116"/>
      <c r="F1428" s="139"/>
      <c r="G1428" s="118"/>
    </row>
    <row r="1429">
      <c r="A1429" s="137"/>
      <c r="B1429" s="138"/>
      <c r="C1429" s="133"/>
      <c r="D1429" s="133"/>
      <c r="E1429" s="116"/>
      <c r="F1429" s="139"/>
      <c r="G1429" s="118"/>
    </row>
    <row r="1430">
      <c r="A1430" s="137"/>
      <c r="B1430" s="138"/>
      <c r="C1430" s="133"/>
      <c r="D1430" s="133"/>
      <c r="E1430" s="116"/>
      <c r="F1430" s="139"/>
      <c r="G1430" s="118"/>
    </row>
    <row r="1431">
      <c r="A1431" s="137"/>
      <c r="B1431" s="138"/>
      <c r="C1431" s="133"/>
      <c r="D1431" s="133"/>
      <c r="E1431" s="116"/>
      <c r="F1431" s="139"/>
      <c r="G1431" s="118"/>
    </row>
    <row r="1432">
      <c r="A1432" s="137"/>
      <c r="B1432" s="138"/>
      <c r="C1432" s="133"/>
      <c r="D1432" s="133"/>
      <c r="E1432" s="116"/>
      <c r="F1432" s="139"/>
      <c r="G1432" s="118"/>
    </row>
    <row r="1433">
      <c r="A1433" s="137"/>
      <c r="B1433" s="138"/>
      <c r="C1433" s="133"/>
      <c r="D1433" s="133"/>
      <c r="E1433" s="116"/>
      <c r="F1433" s="139"/>
      <c r="G1433" s="118"/>
    </row>
    <row r="1434">
      <c r="A1434" s="137"/>
      <c r="B1434" s="138"/>
      <c r="C1434" s="133"/>
      <c r="D1434" s="133"/>
      <c r="E1434" s="116"/>
      <c r="F1434" s="139"/>
      <c r="G1434" s="118"/>
    </row>
    <row r="1435">
      <c r="A1435" s="137"/>
      <c r="B1435" s="138"/>
      <c r="C1435" s="133"/>
      <c r="D1435" s="133"/>
      <c r="E1435" s="116"/>
      <c r="F1435" s="139"/>
      <c r="G1435" s="118"/>
    </row>
    <row r="1436">
      <c r="A1436" s="137"/>
      <c r="B1436" s="138"/>
      <c r="C1436" s="133"/>
      <c r="D1436" s="133"/>
      <c r="E1436" s="116"/>
      <c r="F1436" s="139"/>
      <c r="G1436" s="118"/>
    </row>
    <row r="1437">
      <c r="A1437" s="137"/>
      <c r="B1437" s="138"/>
      <c r="C1437" s="133"/>
      <c r="D1437" s="133"/>
      <c r="E1437" s="116"/>
      <c r="F1437" s="139"/>
      <c r="G1437" s="118"/>
    </row>
    <row r="1438">
      <c r="A1438" s="137"/>
      <c r="B1438" s="138"/>
      <c r="C1438" s="133"/>
      <c r="D1438" s="140"/>
      <c r="E1438" s="116"/>
      <c r="F1438" s="139"/>
      <c r="G1438" s="118"/>
    </row>
    <row r="1439">
      <c r="A1439" s="137"/>
      <c r="B1439" s="138"/>
      <c r="C1439" s="133"/>
      <c r="D1439" s="140"/>
      <c r="E1439" s="116"/>
      <c r="F1439" s="139"/>
      <c r="G1439" s="118"/>
    </row>
    <row r="1440">
      <c r="A1440" s="137"/>
      <c r="B1440" s="138"/>
      <c r="C1440" s="133"/>
      <c r="D1440" s="133"/>
      <c r="E1440" s="116"/>
      <c r="F1440" s="139"/>
      <c r="G1440" s="118"/>
    </row>
    <row r="1441">
      <c r="A1441" s="137"/>
      <c r="B1441" s="138"/>
      <c r="C1441" s="133"/>
      <c r="D1441" s="133"/>
      <c r="E1441" s="116"/>
      <c r="F1441" s="139"/>
      <c r="G1441" s="118"/>
    </row>
    <row r="1442">
      <c r="A1442" s="137"/>
      <c r="B1442" s="138"/>
      <c r="C1442" s="133"/>
      <c r="D1442" s="133"/>
      <c r="E1442" s="116"/>
      <c r="F1442" s="139"/>
      <c r="G1442" s="118"/>
    </row>
    <row r="1443">
      <c r="A1443" s="137"/>
      <c r="B1443" s="138"/>
      <c r="C1443" s="133"/>
      <c r="D1443" s="133"/>
      <c r="E1443" s="116"/>
      <c r="F1443" s="139"/>
      <c r="G1443" s="118"/>
    </row>
    <row r="1444">
      <c r="A1444" s="137"/>
      <c r="B1444" s="138"/>
      <c r="C1444" s="133"/>
      <c r="D1444" s="133"/>
      <c r="E1444" s="116"/>
      <c r="F1444" s="139"/>
      <c r="G1444" s="118"/>
    </row>
    <row r="1445">
      <c r="A1445" s="137"/>
      <c r="B1445" s="138"/>
      <c r="C1445" s="133"/>
      <c r="D1445" s="133"/>
      <c r="E1445" s="116"/>
      <c r="F1445" s="139"/>
      <c r="G1445" s="118"/>
    </row>
    <row r="1446">
      <c r="A1446" s="137"/>
      <c r="B1446" s="138"/>
      <c r="C1446" s="133"/>
      <c r="D1446" s="133"/>
      <c r="E1446" s="116"/>
      <c r="F1446" s="139"/>
      <c r="G1446" s="118"/>
    </row>
    <row r="1447">
      <c r="A1447" s="137"/>
      <c r="B1447" s="138"/>
      <c r="C1447" s="133"/>
      <c r="D1447" s="133"/>
      <c r="E1447" s="116"/>
      <c r="F1447" s="139"/>
      <c r="G1447" s="118"/>
    </row>
    <row r="1448">
      <c r="A1448" s="137"/>
      <c r="B1448" s="138"/>
      <c r="C1448" s="133"/>
      <c r="D1448" s="133"/>
      <c r="E1448" s="116"/>
      <c r="F1448" s="139"/>
      <c r="G1448" s="118"/>
    </row>
    <row r="1449">
      <c r="A1449" s="137"/>
      <c r="B1449" s="138"/>
      <c r="C1449" s="133"/>
      <c r="D1449" s="133"/>
      <c r="E1449" s="116"/>
      <c r="F1449" s="139"/>
      <c r="G1449" s="118"/>
    </row>
    <row r="1450">
      <c r="A1450" s="137"/>
      <c r="B1450" s="138"/>
      <c r="C1450" s="133"/>
      <c r="D1450" s="133"/>
      <c r="E1450" s="116"/>
      <c r="F1450" s="139"/>
      <c r="G1450" s="118"/>
    </row>
    <row r="1451">
      <c r="A1451" s="137"/>
      <c r="B1451" s="138"/>
      <c r="C1451" s="133"/>
      <c r="D1451" s="133"/>
      <c r="E1451" s="116"/>
      <c r="F1451" s="139"/>
      <c r="G1451" s="118"/>
    </row>
    <row r="1452">
      <c r="A1452" s="137"/>
      <c r="B1452" s="138"/>
      <c r="C1452" s="133"/>
      <c r="D1452" s="133"/>
      <c r="E1452" s="116"/>
      <c r="F1452" s="139"/>
      <c r="G1452" s="118"/>
    </row>
    <row r="1453">
      <c r="A1453" s="137"/>
      <c r="B1453" s="138"/>
      <c r="C1453" s="133"/>
      <c r="D1453" s="133"/>
      <c r="E1453" s="116"/>
      <c r="F1453" s="139"/>
      <c r="G1453" s="118"/>
    </row>
    <row r="1454">
      <c r="A1454" s="137"/>
      <c r="B1454" s="138"/>
      <c r="C1454" s="133"/>
      <c r="D1454" s="133"/>
      <c r="E1454" s="116"/>
      <c r="F1454" s="139"/>
      <c r="G1454" s="118"/>
    </row>
    <row r="1455">
      <c r="A1455" s="137"/>
      <c r="B1455" s="138"/>
      <c r="C1455" s="133"/>
      <c r="D1455" s="133"/>
      <c r="E1455" s="116"/>
      <c r="F1455" s="139"/>
      <c r="G1455" s="118"/>
    </row>
    <row r="1456">
      <c r="A1456" s="137"/>
      <c r="B1456" s="138"/>
      <c r="C1456" s="133"/>
      <c r="D1456" s="133"/>
      <c r="E1456" s="116"/>
      <c r="F1456" s="139"/>
      <c r="G1456" s="118"/>
    </row>
    <row r="1457">
      <c r="A1457" s="137"/>
      <c r="B1457" s="138"/>
      <c r="C1457" s="133"/>
      <c r="D1457" s="133"/>
      <c r="E1457" s="116"/>
      <c r="F1457" s="139"/>
      <c r="G1457" s="118"/>
    </row>
    <row r="1458">
      <c r="A1458" s="137"/>
      <c r="B1458" s="138"/>
      <c r="C1458" s="133"/>
      <c r="D1458" s="133"/>
      <c r="E1458" s="116"/>
      <c r="F1458" s="139"/>
      <c r="G1458" s="118"/>
    </row>
    <row r="1459">
      <c r="A1459" s="137"/>
      <c r="B1459" s="138"/>
      <c r="C1459" s="133"/>
      <c r="D1459" s="133"/>
      <c r="E1459" s="116"/>
      <c r="F1459" s="139"/>
      <c r="G1459" s="118"/>
    </row>
    <row r="1460">
      <c r="A1460" s="137"/>
      <c r="B1460" s="138"/>
      <c r="C1460" s="133"/>
      <c r="D1460" s="133"/>
      <c r="E1460" s="116"/>
      <c r="F1460" s="139"/>
      <c r="G1460" s="118"/>
    </row>
    <row r="1461">
      <c r="A1461" s="137"/>
      <c r="B1461" s="138"/>
      <c r="C1461" s="133"/>
      <c r="D1461" s="133"/>
      <c r="E1461" s="116"/>
      <c r="F1461" s="139"/>
      <c r="G1461" s="118"/>
    </row>
    <row r="1462">
      <c r="A1462" s="137"/>
      <c r="B1462" s="138"/>
      <c r="C1462" s="133"/>
      <c r="D1462" s="133"/>
      <c r="E1462" s="116"/>
      <c r="F1462" s="139"/>
      <c r="G1462" s="118"/>
    </row>
    <row r="1463">
      <c r="A1463" s="137"/>
      <c r="B1463" s="138"/>
      <c r="C1463" s="133"/>
      <c r="D1463" s="133"/>
      <c r="E1463" s="116"/>
      <c r="F1463" s="139"/>
      <c r="G1463" s="118"/>
    </row>
    <row r="1464">
      <c r="A1464" s="137"/>
      <c r="B1464" s="138"/>
      <c r="C1464" s="133"/>
      <c r="D1464" s="133"/>
      <c r="E1464" s="116"/>
      <c r="F1464" s="139"/>
      <c r="G1464" s="118"/>
    </row>
    <row r="1465">
      <c r="A1465" s="137"/>
      <c r="B1465" s="138"/>
      <c r="C1465" s="133"/>
      <c r="D1465" s="133"/>
      <c r="E1465" s="116"/>
      <c r="F1465" s="139"/>
      <c r="G1465" s="118"/>
    </row>
    <row r="1466">
      <c r="A1466" s="137"/>
      <c r="B1466" s="138"/>
      <c r="C1466" s="133"/>
      <c r="D1466" s="133"/>
      <c r="E1466" s="116"/>
      <c r="F1466" s="139"/>
      <c r="G1466" s="118"/>
    </row>
    <row r="1467">
      <c r="A1467" s="137"/>
      <c r="B1467" s="138"/>
      <c r="C1467" s="133"/>
      <c r="D1467" s="133"/>
      <c r="E1467" s="116"/>
      <c r="F1467" s="139"/>
      <c r="G1467" s="118"/>
    </row>
    <row r="1468">
      <c r="A1468" s="137"/>
      <c r="B1468" s="138"/>
      <c r="C1468" s="133"/>
      <c r="D1468" s="133"/>
      <c r="E1468" s="116"/>
      <c r="F1468" s="139"/>
      <c r="G1468" s="118"/>
    </row>
    <row r="1469">
      <c r="A1469" s="137"/>
      <c r="B1469" s="138"/>
      <c r="C1469" s="133"/>
      <c r="D1469" s="133"/>
      <c r="E1469" s="116"/>
      <c r="F1469" s="139"/>
      <c r="G1469" s="118"/>
    </row>
    <row r="1470">
      <c r="A1470" s="137"/>
      <c r="B1470" s="138"/>
      <c r="C1470" s="133"/>
      <c r="D1470" s="133"/>
      <c r="E1470" s="116"/>
      <c r="F1470" s="139"/>
      <c r="G1470" s="118"/>
    </row>
    <row r="1471">
      <c r="A1471" s="137"/>
      <c r="B1471" s="138"/>
      <c r="C1471" s="133"/>
      <c r="D1471" s="133"/>
      <c r="E1471" s="116"/>
      <c r="F1471" s="141"/>
      <c r="G1471" s="118"/>
    </row>
    <row r="1472">
      <c r="A1472" s="137"/>
      <c r="B1472" s="138"/>
      <c r="C1472" s="133"/>
      <c r="D1472" s="133"/>
      <c r="E1472" s="116"/>
      <c r="F1472" s="141"/>
      <c r="G1472" s="118"/>
    </row>
    <row r="1473">
      <c r="A1473" s="137"/>
      <c r="B1473" s="138"/>
      <c r="C1473" s="133"/>
      <c r="D1473" s="133"/>
      <c r="E1473" s="116"/>
      <c r="F1473" s="138"/>
      <c r="G1473" s="118"/>
    </row>
    <row r="1474">
      <c r="A1474" s="137"/>
      <c r="B1474" s="138"/>
      <c r="C1474" s="133"/>
      <c r="D1474" s="133"/>
      <c r="E1474" s="116"/>
      <c r="F1474" s="138"/>
      <c r="G1474" s="118"/>
    </row>
    <row r="1475">
      <c r="A1475" s="137"/>
      <c r="B1475" s="138"/>
      <c r="C1475" s="133"/>
      <c r="D1475" s="133"/>
      <c r="E1475" s="116"/>
      <c r="F1475" s="138"/>
      <c r="G1475" s="118"/>
    </row>
    <row r="1476">
      <c r="A1476" s="137"/>
      <c r="B1476" s="138"/>
      <c r="C1476" s="133"/>
      <c r="D1476" s="133"/>
      <c r="E1476" s="116"/>
      <c r="F1476" s="138"/>
      <c r="G1476" s="118"/>
    </row>
    <row r="1477">
      <c r="A1477" s="137"/>
      <c r="B1477" s="138"/>
      <c r="C1477" s="133"/>
      <c r="D1477" s="133"/>
      <c r="E1477" s="116"/>
      <c r="F1477" s="138"/>
      <c r="G1477" s="118"/>
    </row>
    <row r="1478">
      <c r="A1478" s="137"/>
      <c r="B1478" s="138"/>
      <c r="C1478" s="133"/>
      <c r="D1478" s="133"/>
      <c r="E1478" s="116"/>
      <c r="F1478" s="138"/>
      <c r="G1478" s="118"/>
    </row>
    <row r="1479">
      <c r="A1479" s="137"/>
      <c r="B1479" s="138"/>
      <c r="C1479" s="133"/>
      <c r="D1479" s="133"/>
      <c r="E1479" s="116"/>
      <c r="F1479" s="138"/>
      <c r="G1479" s="118"/>
    </row>
    <row r="1480">
      <c r="A1480" s="137"/>
      <c r="B1480" s="138"/>
      <c r="C1480" s="133"/>
      <c r="D1480" s="133"/>
      <c r="E1480" s="116"/>
      <c r="F1480" s="138"/>
      <c r="G1480" s="118"/>
    </row>
    <row r="1481">
      <c r="A1481" s="137"/>
      <c r="B1481" s="138"/>
      <c r="C1481" s="133"/>
      <c r="D1481" s="133"/>
      <c r="E1481" s="116"/>
      <c r="F1481" s="138"/>
      <c r="G1481" s="118"/>
    </row>
    <row r="1482">
      <c r="A1482" s="137"/>
      <c r="B1482" s="138"/>
      <c r="C1482" s="133"/>
      <c r="D1482" s="133"/>
      <c r="E1482" s="116"/>
      <c r="F1482" s="139"/>
      <c r="G1482" s="118"/>
    </row>
    <row r="1483">
      <c r="A1483" s="137"/>
      <c r="B1483" s="138"/>
      <c r="C1483" s="133"/>
      <c r="D1483" s="133"/>
      <c r="E1483" s="116"/>
      <c r="F1483" s="139"/>
      <c r="G1483" s="118"/>
    </row>
    <row r="1484">
      <c r="A1484" s="137"/>
      <c r="B1484" s="138"/>
      <c r="C1484" s="133"/>
      <c r="D1484" s="133"/>
      <c r="E1484" s="116"/>
      <c r="F1484" s="139"/>
      <c r="G1484" s="118"/>
    </row>
    <row r="1485">
      <c r="A1485" s="137"/>
      <c r="B1485" s="138"/>
      <c r="C1485" s="133"/>
      <c r="D1485" s="133"/>
      <c r="E1485" s="116"/>
      <c r="F1485" s="139"/>
      <c r="G1485" s="118"/>
    </row>
    <row r="1486">
      <c r="A1486" s="137"/>
      <c r="B1486" s="138"/>
      <c r="C1486" s="133"/>
      <c r="D1486" s="133"/>
      <c r="E1486" s="116"/>
      <c r="F1486" s="139"/>
      <c r="G1486" s="118"/>
    </row>
    <row r="1487">
      <c r="A1487" s="137"/>
      <c r="B1487" s="138"/>
      <c r="C1487" s="133"/>
      <c r="D1487" s="133"/>
      <c r="E1487" s="116"/>
      <c r="F1487" s="139"/>
      <c r="G1487" s="118"/>
    </row>
    <row r="1488">
      <c r="A1488" s="137"/>
      <c r="B1488" s="138"/>
      <c r="C1488" s="133"/>
      <c r="D1488" s="133"/>
      <c r="E1488" s="116"/>
      <c r="F1488" s="139"/>
      <c r="G1488" s="118"/>
    </row>
    <row r="1489">
      <c r="A1489" s="137"/>
      <c r="B1489" s="138"/>
      <c r="C1489" s="133"/>
      <c r="D1489" s="133"/>
      <c r="E1489" s="116"/>
      <c r="F1489" s="141"/>
      <c r="G1489" s="118"/>
    </row>
    <row r="1490">
      <c r="A1490" s="137"/>
      <c r="B1490" s="138"/>
      <c r="C1490" s="133"/>
      <c r="D1490" s="133"/>
      <c r="E1490" s="116"/>
      <c r="F1490" s="141"/>
      <c r="G1490" s="118"/>
    </row>
    <row r="1491">
      <c r="A1491" s="137"/>
      <c r="B1491" s="138"/>
      <c r="C1491" s="133"/>
      <c r="D1491" s="133"/>
      <c r="E1491" s="116"/>
      <c r="F1491" s="138"/>
      <c r="G1491" s="118"/>
    </row>
    <row r="1492">
      <c r="A1492" s="137"/>
      <c r="B1492" s="138"/>
      <c r="C1492" s="133"/>
      <c r="D1492" s="133"/>
      <c r="E1492" s="116"/>
      <c r="F1492" s="138"/>
      <c r="G1492" s="118"/>
    </row>
    <row r="1493">
      <c r="A1493" s="137"/>
      <c r="B1493" s="138"/>
      <c r="C1493" s="133"/>
      <c r="D1493" s="133"/>
      <c r="E1493" s="116"/>
      <c r="F1493" s="138"/>
      <c r="G1493" s="118"/>
    </row>
    <row r="1494">
      <c r="A1494" s="137"/>
      <c r="B1494" s="138"/>
      <c r="C1494" s="133"/>
      <c r="D1494" s="133"/>
      <c r="E1494" s="116"/>
      <c r="F1494" s="138"/>
      <c r="G1494" s="118"/>
    </row>
    <row r="1495">
      <c r="A1495" s="137"/>
      <c r="B1495" s="138"/>
      <c r="C1495" s="133"/>
      <c r="D1495" s="133"/>
      <c r="E1495" s="116"/>
      <c r="F1495" s="138"/>
      <c r="G1495" s="118"/>
    </row>
    <row r="1496">
      <c r="A1496" s="137"/>
      <c r="B1496" s="138"/>
      <c r="C1496" s="133"/>
      <c r="D1496" s="133"/>
      <c r="E1496" s="116"/>
      <c r="F1496" s="141"/>
      <c r="G1496" s="118"/>
    </row>
    <row r="1497">
      <c r="A1497" s="137"/>
      <c r="B1497" s="138"/>
      <c r="C1497" s="133"/>
      <c r="D1497" s="133"/>
      <c r="E1497" s="116"/>
      <c r="F1497" s="141"/>
      <c r="G1497" s="118"/>
    </row>
    <row r="1498">
      <c r="A1498" s="137"/>
      <c r="B1498" s="138"/>
      <c r="C1498" s="133"/>
      <c r="D1498" s="133"/>
      <c r="E1498" s="116"/>
      <c r="F1498" s="138"/>
      <c r="G1498" s="118"/>
    </row>
    <row r="1499">
      <c r="A1499" s="137"/>
      <c r="B1499" s="138"/>
      <c r="C1499" s="133"/>
      <c r="D1499" s="133"/>
      <c r="E1499" s="116"/>
      <c r="F1499" s="138"/>
      <c r="G1499" s="118"/>
    </row>
    <row r="1500">
      <c r="A1500" s="137"/>
      <c r="B1500" s="138"/>
      <c r="C1500" s="133"/>
      <c r="D1500" s="133"/>
      <c r="E1500" s="116"/>
      <c r="F1500" s="138"/>
      <c r="G1500" s="118"/>
    </row>
    <row r="1501">
      <c r="A1501" s="137"/>
      <c r="B1501" s="138"/>
      <c r="C1501" s="133"/>
      <c r="D1501" s="133"/>
      <c r="E1501" s="116"/>
      <c r="F1501" s="138"/>
      <c r="G1501" s="118"/>
    </row>
    <row r="1502">
      <c r="A1502" s="137"/>
      <c r="B1502" s="138"/>
      <c r="C1502" s="133"/>
      <c r="D1502" s="133"/>
      <c r="E1502" s="116"/>
      <c r="F1502" s="138"/>
      <c r="G1502" s="118"/>
    </row>
    <row r="1503">
      <c r="A1503" s="137"/>
      <c r="B1503" s="138"/>
      <c r="C1503" s="133"/>
      <c r="D1503" s="133"/>
      <c r="E1503" s="116"/>
      <c r="F1503" s="138"/>
      <c r="G1503" s="118"/>
    </row>
    <row r="1504">
      <c r="A1504" s="137"/>
      <c r="B1504" s="138"/>
      <c r="C1504" s="133"/>
      <c r="D1504" s="133"/>
      <c r="E1504" s="116"/>
      <c r="F1504" s="138"/>
      <c r="G1504" s="118"/>
    </row>
    <row r="1505">
      <c r="A1505" s="137"/>
      <c r="B1505" s="138"/>
      <c r="C1505" s="133"/>
      <c r="D1505" s="133"/>
      <c r="E1505" s="116"/>
      <c r="F1505" s="138"/>
      <c r="G1505" s="118"/>
    </row>
    <row r="1506">
      <c r="A1506" s="137"/>
      <c r="B1506" s="138"/>
      <c r="C1506" s="133"/>
      <c r="D1506" s="133"/>
      <c r="E1506" s="116"/>
      <c r="F1506" s="138"/>
      <c r="G1506" s="118"/>
    </row>
    <row r="1507">
      <c r="A1507" s="137"/>
      <c r="B1507" s="138"/>
      <c r="C1507" s="133"/>
      <c r="D1507" s="133"/>
      <c r="E1507" s="116"/>
      <c r="F1507" s="138"/>
      <c r="G1507" s="118"/>
    </row>
    <row r="1508">
      <c r="A1508" s="137"/>
      <c r="B1508" s="138"/>
      <c r="C1508" s="133"/>
      <c r="D1508" s="133"/>
      <c r="E1508" s="116"/>
      <c r="F1508" s="139"/>
      <c r="G1508" s="118"/>
    </row>
    <row r="1509">
      <c r="A1509" s="137"/>
      <c r="B1509" s="138"/>
      <c r="C1509" s="133"/>
      <c r="D1509" s="133"/>
      <c r="E1509" s="116"/>
      <c r="F1509" s="139"/>
      <c r="G1509" s="118"/>
    </row>
    <row r="1510">
      <c r="A1510" s="137"/>
      <c r="B1510" s="138"/>
      <c r="C1510" s="133"/>
      <c r="D1510" s="133"/>
      <c r="E1510" s="116"/>
      <c r="F1510" s="139"/>
      <c r="G1510" s="118"/>
    </row>
    <row r="1511">
      <c r="A1511" s="137"/>
      <c r="B1511" s="138"/>
      <c r="C1511" s="133"/>
      <c r="D1511" s="133"/>
      <c r="E1511" s="116"/>
      <c r="F1511" s="139"/>
      <c r="G1511" s="118"/>
    </row>
    <row r="1512">
      <c r="A1512" s="137"/>
      <c r="B1512" s="138"/>
      <c r="C1512" s="133"/>
      <c r="D1512" s="133"/>
      <c r="E1512" s="116"/>
      <c r="F1512" s="141"/>
      <c r="G1512" s="118"/>
    </row>
    <row r="1513">
      <c r="A1513" s="137"/>
      <c r="B1513" s="138"/>
      <c r="C1513" s="133"/>
      <c r="D1513" s="133"/>
      <c r="E1513" s="116"/>
      <c r="F1513" s="141"/>
      <c r="G1513" s="118"/>
    </row>
    <row r="1514">
      <c r="A1514" s="137"/>
      <c r="B1514" s="138"/>
      <c r="C1514" s="133"/>
      <c r="D1514" s="133"/>
      <c r="E1514" s="116"/>
      <c r="F1514" s="138"/>
      <c r="G1514" s="118"/>
    </row>
    <row r="1515">
      <c r="A1515" s="137"/>
      <c r="B1515" s="138"/>
      <c r="C1515" s="133"/>
      <c r="D1515" s="133"/>
      <c r="E1515" s="116"/>
      <c r="F1515" s="138"/>
      <c r="G1515" s="118"/>
    </row>
    <row r="1516">
      <c r="A1516" s="137"/>
      <c r="B1516" s="138"/>
      <c r="C1516" s="133"/>
      <c r="D1516" s="133"/>
      <c r="E1516" s="116"/>
      <c r="F1516" s="138"/>
      <c r="G1516" s="118"/>
    </row>
    <row r="1517">
      <c r="A1517" s="137"/>
      <c r="B1517" s="138"/>
      <c r="C1517" s="133"/>
      <c r="D1517" s="133"/>
      <c r="E1517" s="116"/>
      <c r="F1517" s="138"/>
      <c r="G1517" s="118"/>
    </row>
    <row r="1518">
      <c r="A1518" s="137"/>
      <c r="B1518" s="138"/>
      <c r="C1518" s="133"/>
      <c r="D1518" s="133"/>
      <c r="E1518" s="116"/>
      <c r="F1518" s="138"/>
      <c r="G1518" s="118"/>
    </row>
    <row r="1519">
      <c r="A1519" s="137"/>
      <c r="B1519" s="138"/>
      <c r="C1519" s="133"/>
      <c r="D1519" s="133"/>
      <c r="E1519" s="116"/>
      <c r="F1519" s="138"/>
      <c r="G1519" s="118"/>
    </row>
    <row r="1520">
      <c r="A1520" s="137"/>
      <c r="B1520" s="138"/>
      <c r="C1520" s="133"/>
      <c r="D1520" s="133"/>
      <c r="E1520" s="116"/>
      <c r="F1520" s="138"/>
      <c r="G1520" s="118"/>
    </row>
    <row r="1521">
      <c r="A1521" s="137"/>
      <c r="B1521" s="138"/>
      <c r="C1521" s="133"/>
      <c r="D1521" s="133"/>
      <c r="E1521" s="116"/>
      <c r="F1521" s="138"/>
      <c r="G1521" s="118"/>
    </row>
    <row r="1522">
      <c r="A1522" s="137"/>
      <c r="B1522" s="138"/>
      <c r="C1522" s="133"/>
      <c r="D1522" s="133"/>
      <c r="E1522" s="116"/>
      <c r="F1522" s="138"/>
      <c r="G1522" s="118"/>
    </row>
    <row r="1523">
      <c r="A1523" s="137"/>
      <c r="B1523" s="138"/>
      <c r="C1523" s="133"/>
      <c r="D1523" s="133"/>
      <c r="E1523" s="116"/>
      <c r="F1523" s="138"/>
      <c r="G1523" s="118"/>
    </row>
    <row r="1524">
      <c r="A1524" s="137"/>
      <c r="B1524" s="138"/>
      <c r="C1524" s="133"/>
      <c r="D1524" s="133"/>
      <c r="E1524" s="116"/>
      <c r="F1524" s="138"/>
      <c r="G1524" s="118"/>
    </row>
    <row r="1525">
      <c r="A1525" s="137"/>
      <c r="B1525" s="138"/>
      <c r="C1525" s="133"/>
      <c r="D1525" s="133"/>
      <c r="E1525" s="116"/>
      <c r="F1525" s="138"/>
      <c r="G1525" s="118"/>
    </row>
    <row r="1526">
      <c r="A1526" s="137"/>
      <c r="B1526" s="138"/>
      <c r="C1526" s="133"/>
      <c r="D1526" s="133"/>
      <c r="E1526" s="116"/>
      <c r="F1526" s="138"/>
      <c r="G1526" s="118"/>
    </row>
    <row r="1527">
      <c r="A1527" s="137"/>
      <c r="B1527" s="138"/>
      <c r="C1527" s="133"/>
      <c r="D1527" s="133"/>
      <c r="E1527" s="116"/>
      <c r="F1527" s="138"/>
      <c r="G1527" s="118"/>
    </row>
    <row r="1528">
      <c r="A1528" s="137"/>
      <c r="B1528" s="138"/>
      <c r="C1528" s="133"/>
      <c r="D1528" s="133"/>
      <c r="E1528" s="116"/>
      <c r="F1528" s="138"/>
      <c r="G1528" s="118"/>
    </row>
    <row r="1529">
      <c r="A1529" s="137"/>
      <c r="B1529" s="138"/>
      <c r="C1529" s="133"/>
      <c r="D1529" s="133"/>
      <c r="E1529" s="116"/>
      <c r="F1529" s="139"/>
      <c r="G1529" s="118"/>
    </row>
    <row r="1530">
      <c r="A1530" s="137"/>
      <c r="B1530" s="138"/>
      <c r="C1530" s="133"/>
      <c r="D1530" s="133"/>
      <c r="E1530" s="116"/>
      <c r="F1530" s="141"/>
      <c r="G1530" s="118"/>
    </row>
    <row r="1531">
      <c r="A1531" s="137"/>
      <c r="B1531" s="138"/>
      <c r="C1531" s="133"/>
      <c r="D1531" s="133"/>
      <c r="E1531" s="116"/>
      <c r="F1531" s="141"/>
      <c r="G1531" s="118"/>
    </row>
    <row r="1532">
      <c r="A1532" s="137"/>
      <c r="B1532" s="138"/>
      <c r="C1532" s="133"/>
      <c r="D1532" s="133"/>
      <c r="E1532" s="116"/>
      <c r="F1532" s="138"/>
      <c r="G1532" s="118"/>
    </row>
    <row r="1533">
      <c r="A1533" s="137"/>
      <c r="B1533" s="138"/>
      <c r="C1533" s="133"/>
      <c r="D1533" s="133"/>
      <c r="E1533" s="116"/>
      <c r="F1533" s="138"/>
      <c r="G1533" s="118"/>
    </row>
    <row r="1534">
      <c r="A1534" s="137"/>
      <c r="B1534" s="138"/>
      <c r="C1534" s="133"/>
      <c r="D1534" s="133"/>
      <c r="E1534" s="116"/>
      <c r="F1534" s="138"/>
      <c r="G1534" s="118"/>
    </row>
    <row r="1535">
      <c r="A1535" s="137"/>
      <c r="B1535" s="138"/>
      <c r="C1535" s="133"/>
      <c r="D1535" s="133"/>
      <c r="E1535" s="116"/>
      <c r="F1535" s="138"/>
      <c r="G1535" s="118"/>
    </row>
    <row r="1536">
      <c r="A1536" s="137"/>
      <c r="B1536" s="138"/>
      <c r="C1536" s="133"/>
      <c r="D1536" s="133"/>
      <c r="E1536" s="116"/>
      <c r="F1536" s="138"/>
      <c r="G1536" s="118"/>
    </row>
    <row r="1537">
      <c r="A1537" s="137"/>
      <c r="B1537" s="138"/>
      <c r="C1537" s="133"/>
      <c r="D1537" s="133"/>
      <c r="E1537" s="116"/>
      <c r="F1537" s="138"/>
      <c r="G1537" s="118"/>
    </row>
    <row r="1538">
      <c r="A1538" s="137"/>
      <c r="B1538" s="138"/>
      <c r="C1538" s="133"/>
      <c r="D1538" s="133"/>
      <c r="E1538" s="116"/>
      <c r="F1538" s="138"/>
      <c r="G1538" s="118"/>
    </row>
    <row r="1539">
      <c r="A1539" s="137"/>
      <c r="B1539" s="138"/>
      <c r="C1539" s="133"/>
      <c r="D1539" s="133"/>
      <c r="E1539" s="116"/>
      <c r="F1539" s="138"/>
      <c r="G1539" s="118"/>
    </row>
    <row r="1540">
      <c r="A1540" s="137"/>
      <c r="B1540" s="138"/>
      <c r="C1540" s="133"/>
      <c r="D1540" s="133"/>
      <c r="E1540" s="116"/>
      <c r="F1540" s="138"/>
      <c r="G1540" s="118"/>
    </row>
    <row r="1541">
      <c r="A1541" s="137"/>
      <c r="B1541" s="138"/>
      <c r="C1541" s="133"/>
      <c r="D1541" s="133"/>
      <c r="E1541" s="116"/>
      <c r="F1541" s="138"/>
      <c r="G1541" s="118"/>
    </row>
    <row r="1542">
      <c r="A1542" s="137"/>
      <c r="B1542" s="138"/>
      <c r="C1542" s="133"/>
      <c r="D1542" s="133"/>
      <c r="E1542" s="116"/>
      <c r="F1542" s="138"/>
      <c r="G1542" s="118"/>
    </row>
    <row r="1543">
      <c r="A1543" s="137"/>
      <c r="B1543" s="138"/>
      <c r="C1543" s="133"/>
      <c r="D1543" s="133"/>
      <c r="E1543" s="116"/>
      <c r="F1543" s="138"/>
      <c r="G1543" s="118"/>
    </row>
    <row r="1544">
      <c r="A1544" s="137"/>
      <c r="B1544" s="138"/>
      <c r="C1544" s="133"/>
      <c r="D1544" s="133"/>
      <c r="E1544" s="116"/>
      <c r="F1544" s="138"/>
      <c r="G1544" s="118"/>
    </row>
    <row r="1545">
      <c r="A1545" s="137"/>
      <c r="B1545" s="138"/>
      <c r="C1545" s="133"/>
      <c r="D1545" s="133"/>
      <c r="E1545" s="116"/>
      <c r="F1545" s="138"/>
      <c r="G1545" s="118"/>
    </row>
    <row r="1546">
      <c r="A1546" s="137"/>
      <c r="B1546" s="138"/>
      <c r="C1546" s="133"/>
      <c r="D1546" s="133"/>
      <c r="E1546" s="116"/>
      <c r="F1546" s="138"/>
      <c r="G1546" s="118"/>
    </row>
    <row r="1547">
      <c r="A1547" s="137"/>
      <c r="B1547" s="138"/>
      <c r="C1547" s="133"/>
      <c r="D1547" s="133"/>
      <c r="E1547" s="116"/>
      <c r="F1547" s="138"/>
      <c r="G1547" s="118"/>
    </row>
    <row r="1548">
      <c r="A1548" s="137"/>
      <c r="B1548" s="138"/>
      <c r="C1548" s="133"/>
      <c r="D1548" s="133"/>
      <c r="E1548" s="116"/>
      <c r="F1548" s="138"/>
      <c r="G1548" s="118"/>
    </row>
    <row r="1549">
      <c r="A1549" s="137"/>
      <c r="B1549" s="138"/>
      <c r="C1549" s="133"/>
      <c r="D1549" s="133"/>
      <c r="E1549" s="116"/>
      <c r="F1549" s="139"/>
      <c r="G1549" s="118"/>
    </row>
    <row r="1550">
      <c r="A1550" s="137"/>
      <c r="B1550" s="138"/>
      <c r="C1550" s="133"/>
      <c r="D1550" s="133"/>
      <c r="E1550" s="116"/>
      <c r="F1550" s="139"/>
      <c r="G1550" s="118"/>
    </row>
    <row r="1551">
      <c r="A1551" s="137"/>
      <c r="B1551" s="138"/>
      <c r="C1551" s="133"/>
      <c r="D1551" s="133"/>
      <c r="E1551" s="116"/>
      <c r="F1551" s="141"/>
      <c r="G1551" s="118"/>
    </row>
    <row r="1552">
      <c r="A1552" s="137"/>
      <c r="B1552" s="138"/>
      <c r="C1552" s="133"/>
      <c r="D1552" s="133"/>
      <c r="E1552" s="116"/>
      <c r="F1552" s="141"/>
      <c r="G1552" s="118"/>
    </row>
    <row r="1553">
      <c r="A1553" s="137"/>
      <c r="B1553" s="138"/>
      <c r="C1553" s="133"/>
      <c r="D1553" s="133"/>
      <c r="E1553" s="116"/>
      <c r="F1553" s="138"/>
      <c r="G1553" s="118"/>
    </row>
    <row r="1554">
      <c r="A1554" s="137"/>
      <c r="B1554" s="138"/>
      <c r="C1554" s="133"/>
      <c r="D1554" s="133"/>
      <c r="E1554" s="116"/>
      <c r="F1554" s="138"/>
      <c r="G1554" s="118"/>
    </row>
    <row r="1555">
      <c r="A1555" s="137"/>
      <c r="B1555" s="138"/>
      <c r="C1555" s="133"/>
      <c r="D1555" s="133"/>
      <c r="E1555" s="116"/>
      <c r="F1555" s="138"/>
      <c r="G1555" s="118"/>
    </row>
    <row r="1556">
      <c r="A1556" s="137"/>
      <c r="B1556" s="138"/>
      <c r="C1556" s="133"/>
      <c r="D1556" s="133"/>
      <c r="E1556" s="116"/>
      <c r="F1556" s="138"/>
      <c r="G1556" s="118"/>
    </row>
    <row r="1557">
      <c r="A1557" s="137"/>
      <c r="B1557" s="138"/>
      <c r="C1557" s="133"/>
      <c r="D1557" s="133"/>
      <c r="E1557" s="116"/>
      <c r="F1557" s="138"/>
      <c r="G1557" s="118"/>
    </row>
    <row r="1558">
      <c r="A1558" s="137"/>
      <c r="B1558" s="138"/>
      <c r="C1558" s="133"/>
      <c r="D1558" s="133"/>
      <c r="E1558" s="116"/>
      <c r="F1558" s="139"/>
      <c r="G1558" s="118"/>
    </row>
    <row r="1559">
      <c r="A1559" s="137"/>
      <c r="B1559" s="138"/>
      <c r="C1559" s="133"/>
      <c r="D1559" s="133"/>
      <c r="E1559" s="116"/>
      <c r="F1559" s="139"/>
      <c r="G1559" s="118"/>
    </row>
    <row r="1560">
      <c r="A1560" s="137"/>
      <c r="B1560" s="138"/>
      <c r="C1560" s="133"/>
      <c r="D1560" s="133"/>
      <c r="E1560" s="116"/>
      <c r="F1560" s="139"/>
      <c r="G1560" s="118"/>
    </row>
    <row r="1561">
      <c r="A1561" s="137"/>
      <c r="B1561" s="138"/>
      <c r="C1561" s="133"/>
      <c r="D1561" s="133"/>
      <c r="E1561" s="116"/>
      <c r="F1561" s="139"/>
      <c r="G1561" s="118"/>
    </row>
    <row r="1562">
      <c r="A1562" s="137"/>
      <c r="B1562" s="138"/>
      <c r="C1562" s="133"/>
      <c r="D1562" s="133"/>
      <c r="E1562" s="116"/>
      <c r="F1562" s="139"/>
      <c r="G1562" s="118"/>
    </row>
    <row r="1563">
      <c r="A1563" s="137"/>
      <c r="B1563" s="138"/>
      <c r="C1563" s="133"/>
      <c r="D1563" s="133"/>
      <c r="E1563" s="116"/>
      <c r="F1563" s="139"/>
      <c r="G1563" s="118"/>
    </row>
    <row r="1564">
      <c r="A1564" s="137"/>
      <c r="B1564" s="138"/>
      <c r="C1564" s="133"/>
      <c r="D1564" s="133"/>
      <c r="E1564" s="116"/>
      <c r="F1564" s="139"/>
      <c r="G1564" s="118"/>
    </row>
    <row r="1565">
      <c r="A1565" s="137"/>
      <c r="B1565" s="138"/>
      <c r="C1565" s="133"/>
      <c r="D1565" s="142"/>
      <c r="E1565" s="116"/>
      <c r="F1565" s="139"/>
      <c r="G1565" s="118"/>
    </row>
    <row r="1566">
      <c r="A1566" s="137"/>
      <c r="B1566" s="138"/>
      <c r="C1566" s="133"/>
      <c r="D1566" s="142"/>
      <c r="E1566" s="116"/>
      <c r="F1566" s="139"/>
      <c r="G1566" s="118"/>
    </row>
    <row r="1567">
      <c r="A1567" s="137"/>
      <c r="B1567" s="138"/>
      <c r="C1567" s="133"/>
      <c r="D1567" s="140"/>
      <c r="E1567" s="116"/>
      <c r="F1567" s="139"/>
      <c r="G1567" s="118"/>
    </row>
    <row r="1568">
      <c r="A1568" s="137"/>
      <c r="B1568" s="138"/>
      <c r="C1568" s="133"/>
      <c r="D1568" s="140"/>
      <c r="E1568" s="116"/>
      <c r="F1568" s="139"/>
      <c r="G1568" s="118"/>
    </row>
    <row r="1569">
      <c r="A1569" s="137"/>
      <c r="B1569" s="138"/>
      <c r="C1569" s="133"/>
      <c r="D1569" s="133"/>
      <c r="E1569" s="116"/>
      <c r="F1569" s="139"/>
      <c r="G1569" s="118"/>
    </row>
    <row r="1570">
      <c r="A1570" s="137"/>
      <c r="B1570" s="138"/>
      <c r="C1570" s="133"/>
      <c r="D1570" s="133"/>
      <c r="E1570" s="116"/>
      <c r="F1570" s="139"/>
      <c r="G1570" s="118"/>
    </row>
    <row r="1571">
      <c r="A1571" s="137"/>
      <c r="B1571" s="138"/>
      <c r="C1571" s="133"/>
      <c r="D1571" s="133"/>
      <c r="E1571" s="116"/>
      <c r="F1571" s="139"/>
      <c r="G1571" s="118"/>
    </row>
    <row r="1572">
      <c r="A1572" s="137"/>
      <c r="B1572" s="138"/>
      <c r="C1572" s="133"/>
      <c r="D1572" s="133"/>
      <c r="E1572" s="116"/>
      <c r="F1572" s="139"/>
      <c r="G1572" s="118"/>
    </row>
    <row r="1573">
      <c r="A1573" s="137"/>
      <c r="B1573" s="138"/>
      <c r="C1573" s="133"/>
      <c r="D1573" s="142"/>
      <c r="E1573" s="116"/>
      <c r="F1573" s="139"/>
      <c r="G1573" s="118"/>
    </row>
    <row r="1574">
      <c r="A1574" s="137"/>
      <c r="B1574" s="138"/>
      <c r="C1574" s="133"/>
      <c r="D1574" s="140"/>
      <c r="E1574" s="116"/>
      <c r="F1574" s="139"/>
      <c r="G1574" s="118"/>
    </row>
    <row r="1575">
      <c r="A1575" s="137"/>
      <c r="B1575" s="138"/>
      <c r="C1575" s="133"/>
      <c r="D1575" s="140"/>
      <c r="E1575" s="116"/>
      <c r="F1575" s="139"/>
      <c r="G1575" s="118"/>
    </row>
    <row r="1576">
      <c r="A1576" s="137"/>
      <c r="B1576" s="138"/>
      <c r="C1576" s="133"/>
      <c r="D1576" s="133"/>
      <c r="E1576" s="116"/>
      <c r="F1576" s="139"/>
      <c r="G1576" s="118"/>
    </row>
    <row r="1577">
      <c r="A1577" s="137"/>
      <c r="B1577" s="138"/>
      <c r="C1577" s="133"/>
      <c r="D1577" s="133"/>
      <c r="E1577" s="116"/>
      <c r="F1577" s="139"/>
      <c r="G1577" s="118"/>
    </row>
    <row r="1578">
      <c r="A1578" s="137"/>
      <c r="B1578" s="138"/>
      <c r="C1578" s="133"/>
      <c r="D1578" s="133"/>
      <c r="E1578" s="116"/>
      <c r="F1578" s="139"/>
      <c r="G1578" s="118"/>
    </row>
    <row r="1579">
      <c r="A1579" s="137"/>
      <c r="B1579" s="138"/>
      <c r="C1579" s="133"/>
      <c r="D1579" s="133"/>
      <c r="E1579" s="116"/>
      <c r="F1579" s="139"/>
      <c r="G1579" s="118"/>
    </row>
    <row r="1580">
      <c r="A1580" s="137"/>
      <c r="B1580" s="138"/>
      <c r="C1580" s="133"/>
      <c r="D1580" s="133"/>
      <c r="E1580" s="116"/>
      <c r="F1580" s="139"/>
      <c r="G1580" s="118"/>
    </row>
    <row r="1581">
      <c r="A1581" s="137"/>
      <c r="B1581" s="138"/>
      <c r="C1581" s="133"/>
      <c r="D1581" s="133"/>
      <c r="E1581" s="116"/>
      <c r="F1581" s="139"/>
      <c r="G1581" s="118"/>
    </row>
    <row r="1582">
      <c r="A1582" s="137"/>
      <c r="B1582" s="138"/>
      <c r="C1582" s="133"/>
      <c r="D1582" s="140"/>
      <c r="E1582" s="116"/>
      <c r="F1582" s="139"/>
      <c r="G1582" s="118"/>
    </row>
    <row r="1583">
      <c r="A1583" s="137"/>
      <c r="B1583" s="138"/>
      <c r="C1583" s="133"/>
      <c r="D1583" s="133"/>
      <c r="E1583" s="116"/>
      <c r="F1583" s="139"/>
      <c r="G1583" s="118"/>
    </row>
    <row r="1584">
      <c r="A1584" s="137"/>
      <c r="B1584" s="138"/>
      <c r="C1584" s="133"/>
      <c r="D1584" s="133"/>
      <c r="E1584" s="116"/>
      <c r="F1584" s="139"/>
      <c r="G1584" s="118"/>
    </row>
    <row r="1585">
      <c r="A1585" s="137"/>
      <c r="B1585" s="138"/>
      <c r="C1585" s="133"/>
      <c r="D1585" s="133"/>
      <c r="E1585" s="116"/>
      <c r="F1585" s="139"/>
      <c r="G1585" s="118"/>
    </row>
    <row r="1586">
      <c r="A1586" s="137"/>
      <c r="B1586" s="138"/>
      <c r="C1586" s="133"/>
      <c r="D1586" s="133"/>
      <c r="E1586" s="116"/>
      <c r="F1586" s="139"/>
      <c r="G1586" s="118"/>
    </row>
    <row r="1587">
      <c r="A1587" s="137"/>
      <c r="B1587" s="138"/>
      <c r="C1587" s="133"/>
      <c r="D1587" s="133"/>
      <c r="E1587" s="116"/>
      <c r="F1587" s="139"/>
      <c r="G1587" s="118"/>
    </row>
    <row r="1588">
      <c r="A1588" s="137"/>
      <c r="B1588" s="138"/>
      <c r="C1588" s="133"/>
      <c r="D1588" s="133"/>
      <c r="E1588" s="116"/>
      <c r="F1588" s="139"/>
      <c r="G1588" s="118"/>
    </row>
    <row r="1589">
      <c r="A1589" s="137"/>
      <c r="B1589" s="138"/>
      <c r="C1589" s="133"/>
      <c r="D1589" s="140"/>
      <c r="E1589" s="116"/>
      <c r="F1589" s="139"/>
      <c r="G1589" s="118"/>
    </row>
    <row r="1590">
      <c r="A1590" s="137"/>
      <c r="B1590" s="138"/>
      <c r="C1590" s="133"/>
      <c r="D1590" s="140"/>
      <c r="E1590" s="116"/>
      <c r="F1590" s="139"/>
      <c r="G1590" s="118"/>
    </row>
    <row r="1591">
      <c r="A1591" s="137"/>
      <c r="B1591" s="138"/>
      <c r="C1591" s="133"/>
      <c r="D1591" s="133"/>
      <c r="E1591" s="116"/>
      <c r="F1591" s="139"/>
      <c r="G1591" s="118"/>
    </row>
    <row r="1592">
      <c r="A1592" s="137"/>
      <c r="B1592" s="138"/>
      <c r="C1592" s="133"/>
      <c r="D1592" s="133"/>
      <c r="E1592" s="116"/>
      <c r="F1592" s="139"/>
      <c r="G1592" s="118"/>
    </row>
    <row r="1593">
      <c r="A1593" s="137"/>
      <c r="B1593" s="138"/>
      <c r="C1593" s="133"/>
      <c r="D1593" s="133"/>
      <c r="E1593" s="116"/>
      <c r="F1593" s="139"/>
      <c r="G1593" s="118"/>
    </row>
    <row r="1594">
      <c r="A1594" s="137"/>
      <c r="B1594" s="138"/>
      <c r="C1594" s="133"/>
      <c r="D1594" s="133"/>
      <c r="E1594" s="116"/>
      <c r="F1594" s="139"/>
      <c r="G1594" s="118"/>
    </row>
    <row r="1595">
      <c r="A1595" s="137"/>
      <c r="B1595" s="138"/>
      <c r="C1595" s="133"/>
      <c r="D1595" s="142"/>
      <c r="E1595" s="116"/>
      <c r="F1595" s="139"/>
      <c r="G1595" s="118"/>
    </row>
    <row r="1596">
      <c r="A1596" s="137"/>
      <c r="B1596" s="138"/>
      <c r="C1596" s="133"/>
      <c r="D1596" s="142"/>
      <c r="E1596" s="116"/>
      <c r="F1596" s="139"/>
      <c r="G1596" s="118"/>
    </row>
    <row r="1597">
      <c r="A1597" s="137"/>
      <c r="B1597" s="138"/>
      <c r="C1597" s="133"/>
      <c r="D1597" s="140"/>
      <c r="E1597" s="116"/>
      <c r="F1597" s="139"/>
      <c r="G1597" s="118"/>
    </row>
    <row r="1598">
      <c r="A1598" s="137"/>
      <c r="B1598" s="138"/>
      <c r="C1598" s="133"/>
      <c r="D1598" s="140"/>
      <c r="E1598" s="116"/>
      <c r="F1598" s="139"/>
      <c r="G1598" s="118"/>
    </row>
    <row r="1599">
      <c r="A1599" s="137"/>
      <c r="B1599" s="138"/>
      <c r="C1599" s="133"/>
      <c r="D1599" s="133"/>
      <c r="E1599" s="116"/>
      <c r="F1599" s="139"/>
      <c r="G1599" s="118"/>
    </row>
    <row r="1600">
      <c r="A1600" s="137"/>
      <c r="B1600" s="138"/>
      <c r="C1600" s="133"/>
      <c r="D1600" s="133"/>
      <c r="E1600" s="116"/>
      <c r="F1600" s="139"/>
      <c r="G1600" s="118"/>
    </row>
    <row r="1601">
      <c r="A1601" s="137"/>
      <c r="B1601" s="138"/>
      <c r="C1601" s="133"/>
      <c r="D1601" s="133"/>
      <c r="E1601" s="116"/>
      <c r="F1601" s="139"/>
      <c r="G1601" s="118"/>
    </row>
    <row r="1602">
      <c r="A1602" s="137"/>
      <c r="B1602" s="138"/>
      <c r="C1602" s="133"/>
      <c r="D1602" s="133"/>
      <c r="E1602" s="116"/>
      <c r="F1602" s="139"/>
      <c r="G1602" s="118"/>
    </row>
    <row r="1603">
      <c r="A1603" s="137"/>
      <c r="B1603" s="138"/>
      <c r="C1603" s="133"/>
      <c r="D1603" s="133"/>
      <c r="E1603" s="116"/>
      <c r="F1603" s="139"/>
      <c r="G1603" s="118"/>
    </row>
    <row r="1604">
      <c r="A1604" s="137"/>
      <c r="B1604" s="138"/>
      <c r="C1604" s="133"/>
      <c r="D1604" s="133"/>
      <c r="E1604" s="116"/>
      <c r="F1604" s="139"/>
      <c r="G1604" s="118"/>
    </row>
    <row r="1605">
      <c r="A1605" s="137"/>
      <c r="B1605" s="138"/>
      <c r="C1605" s="133"/>
      <c r="D1605" s="133"/>
      <c r="E1605" s="116"/>
      <c r="F1605" s="139"/>
      <c r="G1605" s="118"/>
    </row>
    <row r="1606">
      <c r="A1606" s="137"/>
      <c r="B1606" s="138"/>
      <c r="C1606" s="133"/>
      <c r="D1606" s="133"/>
      <c r="E1606" s="116"/>
      <c r="F1606" s="139"/>
      <c r="G1606" s="118"/>
    </row>
    <row r="1607">
      <c r="A1607" s="137"/>
      <c r="B1607" s="138"/>
      <c r="C1607" s="133"/>
      <c r="D1607" s="133"/>
      <c r="E1607" s="116"/>
      <c r="F1607" s="139"/>
      <c r="G1607" s="118"/>
    </row>
    <row r="1608">
      <c r="A1608" s="137"/>
      <c r="B1608" s="138"/>
      <c r="C1608" s="133"/>
      <c r="D1608" s="133"/>
      <c r="E1608" s="116"/>
      <c r="F1608" s="139"/>
      <c r="G1608" s="118"/>
    </row>
    <row r="1609">
      <c r="A1609" s="137"/>
      <c r="B1609" s="138"/>
      <c r="C1609" s="133"/>
      <c r="D1609" s="133"/>
      <c r="E1609" s="116"/>
      <c r="F1609" s="139"/>
      <c r="G1609" s="118"/>
    </row>
    <row r="1610">
      <c r="A1610" s="137"/>
      <c r="B1610" s="138"/>
      <c r="C1610" s="133"/>
      <c r="D1610" s="133"/>
      <c r="E1610" s="116"/>
      <c r="F1610" s="139"/>
      <c r="G1610" s="118"/>
    </row>
    <row r="1611">
      <c r="A1611" s="137"/>
      <c r="B1611" s="138"/>
      <c r="C1611" s="133"/>
      <c r="D1611" s="133"/>
      <c r="E1611" s="116"/>
      <c r="F1611" s="139"/>
      <c r="G1611" s="118"/>
    </row>
    <row r="1612">
      <c r="A1612" s="137"/>
      <c r="B1612" s="138"/>
      <c r="C1612" s="133"/>
      <c r="D1612" s="133"/>
      <c r="E1612" s="116"/>
      <c r="F1612" s="139"/>
      <c r="G1612" s="118"/>
    </row>
    <row r="1613">
      <c r="A1613" s="137"/>
      <c r="B1613" s="138"/>
      <c r="C1613" s="133"/>
      <c r="D1613" s="133"/>
      <c r="E1613" s="116"/>
      <c r="F1613" s="139"/>
      <c r="G1613" s="118"/>
    </row>
    <row r="1614">
      <c r="A1614" s="137"/>
      <c r="B1614" s="138"/>
      <c r="C1614" s="133"/>
      <c r="D1614" s="133"/>
      <c r="E1614" s="116"/>
      <c r="F1614" s="139"/>
      <c r="G1614" s="118"/>
    </row>
    <row r="1615">
      <c r="A1615" s="137"/>
      <c r="B1615" s="138"/>
      <c r="C1615" s="133"/>
      <c r="D1615" s="133"/>
      <c r="E1615" s="116"/>
      <c r="F1615" s="139"/>
      <c r="G1615" s="118"/>
    </row>
    <row r="1616">
      <c r="A1616" s="137"/>
      <c r="B1616" s="138"/>
      <c r="C1616" s="133"/>
      <c r="D1616" s="133"/>
      <c r="E1616" s="116"/>
      <c r="F1616" s="139"/>
      <c r="G1616" s="118"/>
    </row>
    <row r="1617">
      <c r="A1617" s="137"/>
      <c r="B1617" s="138"/>
      <c r="C1617" s="133"/>
      <c r="D1617" s="133"/>
      <c r="E1617" s="116"/>
      <c r="F1617" s="139"/>
      <c r="G1617" s="118"/>
    </row>
    <row r="1618">
      <c r="A1618" s="137"/>
      <c r="B1618" s="138"/>
      <c r="C1618" s="133"/>
      <c r="D1618" s="133"/>
      <c r="E1618" s="116"/>
      <c r="F1618" s="139"/>
      <c r="G1618" s="118"/>
    </row>
    <row r="1619">
      <c r="A1619" s="137"/>
      <c r="B1619" s="138"/>
      <c r="C1619" s="133"/>
      <c r="D1619" s="133"/>
      <c r="E1619" s="116"/>
      <c r="F1619" s="139"/>
      <c r="G1619" s="118"/>
    </row>
    <row r="1620">
      <c r="A1620" s="137"/>
      <c r="B1620" s="138"/>
      <c r="C1620" s="133"/>
      <c r="D1620" s="133"/>
      <c r="E1620" s="116"/>
      <c r="F1620" s="139"/>
      <c r="G1620" s="118"/>
    </row>
    <row r="1621">
      <c r="A1621" s="137"/>
      <c r="B1621" s="138"/>
      <c r="C1621" s="133"/>
      <c r="D1621" s="133"/>
      <c r="E1621" s="116"/>
      <c r="F1621" s="139"/>
      <c r="G1621" s="118"/>
    </row>
    <row r="1622">
      <c r="A1622" s="137"/>
      <c r="B1622" s="138"/>
      <c r="C1622" s="133"/>
      <c r="D1622" s="133"/>
      <c r="E1622" s="116"/>
      <c r="F1622" s="139"/>
      <c r="G1622" s="118"/>
    </row>
    <row r="1623">
      <c r="A1623" s="137"/>
      <c r="B1623" s="138"/>
      <c r="C1623" s="133"/>
      <c r="D1623" s="133"/>
      <c r="E1623" s="116"/>
      <c r="F1623" s="139"/>
      <c r="G1623" s="118"/>
    </row>
    <row r="1624">
      <c r="A1624" s="137"/>
      <c r="B1624" s="138"/>
      <c r="C1624" s="133"/>
      <c r="D1624" s="133"/>
      <c r="E1624" s="116"/>
      <c r="F1624" s="139"/>
      <c r="G1624" s="118"/>
    </row>
    <row r="1625">
      <c r="A1625" s="137"/>
      <c r="B1625" s="138"/>
      <c r="C1625" s="133"/>
      <c r="D1625" s="133"/>
      <c r="E1625" s="116"/>
      <c r="F1625" s="139"/>
      <c r="G1625" s="118"/>
    </row>
    <row r="1626">
      <c r="A1626" s="137"/>
      <c r="B1626" s="138"/>
      <c r="C1626" s="133"/>
      <c r="D1626" s="133"/>
      <c r="E1626" s="116"/>
      <c r="F1626" s="139"/>
      <c r="G1626" s="118"/>
    </row>
    <row r="1627">
      <c r="A1627" s="137"/>
      <c r="B1627" s="138"/>
      <c r="C1627" s="133"/>
      <c r="D1627" s="133"/>
      <c r="E1627" s="116"/>
      <c r="F1627" s="139"/>
      <c r="G1627" s="118"/>
    </row>
    <row r="1628">
      <c r="A1628" s="137"/>
      <c r="B1628" s="138"/>
      <c r="C1628" s="133"/>
      <c r="D1628" s="133"/>
      <c r="E1628" s="116"/>
      <c r="F1628" s="139"/>
      <c r="G1628" s="118"/>
    </row>
    <row r="1629">
      <c r="A1629" s="137"/>
      <c r="B1629" s="138"/>
      <c r="C1629" s="133"/>
      <c r="D1629" s="133"/>
      <c r="E1629" s="116"/>
      <c r="F1629" s="139"/>
      <c r="G1629" s="118"/>
    </row>
    <row r="1630">
      <c r="A1630" s="137"/>
      <c r="B1630" s="138"/>
      <c r="C1630" s="133"/>
      <c r="D1630" s="133"/>
      <c r="E1630" s="116"/>
      <c r="F1630" s="139"/>
      <c r="G1630" s="118"/>
    </row>
    <row r="1631">
      <c r="A1631" s="137"/>
      <c r="B1631" s="138"/>
      <c r="C1631" s="133"/>
      <c r="D1631" s="133"/>
      <c r="E1631" s="116"/>
      <c r="F1631" s="139"/>
      <c r="G1631" s="118"/>
    </row>
    <row r="1632">
      <c r="A1632" s="137"/>
      <c r="B1632" s="138"/>
      <c r="C1632" s="133"/>
      <c r="D1632" s="133"/>
      <c r="E1632" s="116"/>
      <c r="F1632" s="139"/>
      <c r="G1632" s="118"/>
    </row>
    <row r="1633">
      <c r="A1633" s="137"/>
      <c r="B1633" s="138"/>
      <c r="C1633" s="133"/>
      <c r="D1633" s="133"/>
      <c r="E1633" s="116"/>
      <c r="F1633" s="139"/>
      <c r="G1633" s="118"/>
    </row>
    <row r="1634">
      <c r="A1634" s="137"/>
      <c r="B1634" s="138"/>
      <c r="C1634" s="133"/>
      <c r="D1634" s="133"/>
      <c r="E1634" s="116"/>
      <c r="F1634" s="139"/>
      <c r="G1634" s="118"/>
    </row>
    <row r="1635">
      <c r="A1635" s="137"/>
      <c r="B1635" s="138"/>
      <c r="C1635" s="133"/>
      <c r="D1635" s="133"/>
      <c r="E1635" s="116"/>
      <c r="F1635" s="139"/>
      <c r="G1635" s="118"/>
    </row>
    <row r="1636">
      <c r="A1636" s="137"/>
      <c r="B1636" s="138"/>
      <c r="C1636" s="133"/>
      <c r="D1636" s="140"/>
      <c r="E1636" s="116"/>
      <c r="F1636" s="139"/>
      <c r="G1636" s="118"/>
    </row>
    <row r="1637">
      <c r="A1637" s="137"/>
      <c r="B1637" s="138"/>
      <c r="C1637" s="133"/>
      <c r="D1637" s="133"/>
      <c r="E1637" s="116"/>
      <c r="F1637" s="139"/>
      <c r="G1637" s="118"/>
    </row>
    <row r="1638">
      <c r="A1638" s="137"/>
      <c r="B1638" s="138"/>
      <c r="C1638" s="133"/>
      <c r="D1638" s="133"/>
      <c r="E1638" s="116"/>
      <c r="F1638" s="139"/>
      <c r="G1638" s="118"/>
    </row>
    <row r="1639">
      <c r="A1639" s="137"/>
      <c r="B1639" s="138"/>
      <c r="C1639" s="133"/>
      <c r="D1639" s="133"/>
      <c r="E1639" s="116"/>
      <c r="F1639" s="139"/>
      <c r="G1639" s="118"/>
    </row>
    <row r="1640">
      <c r="A1640" s="137"/>
      <c r="B1640" s="138"/>
      <c r="C1640" s="133"/>
      <c r="D1640" s="133"/>
      <c r="E1640" s="116"/>
      <c r="F1640" s="139"/>
      <c r="G1640" s="118"/>
    </row>
    <row r="1641">
      <c r="A1641" s="137"/>
      <c r="B1641" s="138"/>
      <c r="C1641" s="133"/>
      <c r="D1641" s="133"/>
      <c r="E1641" s="116"/>
      <c r="F1641" s="139"/>
      <c r="G1641" s="118"/>
    </row>
    <row r="1642">
      <c r="A1642" s="137"/>
      <c r="B1642" s="138"/>
      <c r="C1642" s="133"/>
      <c r="D1642" s="133"/>
      <c r="E1642" s="116"/>
      <c r="F1642" s="139"/>
      <c r="G1642" s="118"/>
    </row>
    <row r="1643">
      <c r="A1643" s="137"/>
      <c r="B1643" s="138"/>
      <c r="C1643" s="133"/>
      <c r="D1643" s="133"/>
      <c r="E1643" s="116"/>
      <c r="F1643" s="139"/>
      <c r="G1643" s="118"/>
    </row>
    <row r="1644">
      <c r="A1644" s="137"/>
      <c r="B1644" s="138"/>
      <c r="C1644" s="133"/>
      <c r="D1644" s="133"/>
      <c r="E1644" s="116"/>
      <c r="F1644" s="139"/>
      <c r="G1644" s="118"/>
    </row>
    <row r="1645">
      <c r="A1645" s="137"/>
      <c r="B1645" s="138"/>
      <c r="C1645" s="133"/>
      <c r="D1645" s="133"/>
      <c r="E1645" s="116"/>
      <c r="F1645" s="139"/>
      <c r="G1645" s="118"/>
    </row>
    <row r="1646">
      <c r="A1646" s="137"/>
      <c r="B1646" s="138"/>
      <c r="C1646" s="133"/>
      <c r="D1646" s="133"/>
      <c r="E1646" s="116"/>
      <c r="F1646" s="139"/>
      <c r="G1646" s="118"/>
    </row>
    <row r="1647">
      <c r="A1647" s="137"/>
      <c r="B1647" s="138"/>
      <c r="C1647" s="133"/>
      <c r="D1647" s="133"/>
      <c r="E1647" s="116"/>
      <c r="F1647" s="139"/>
      <c r="G1647" s="118"/>
    </row>
    <row r="1648">
      <c r="A1648" s="137"/>
      <c r="B1648" s="138"/>
      <c r="C1648" s="133"/>
      <c r="D1648" s="133"/>
      <c r="E1648" s="116"/>
      <c r="F1648" s="139"/>
      <c r="G1648" s="118"/>
    </row>
    <row r="1649">
      <c r="A1649" s="137"/>
      <c r="B1649" s="138"/>
      <c r="C1649" s="133"/>
      <c r="D1649" s="133"/>
      <c r="E1649" s="116"/>
      <c r="F1649" s="139"/>
      <c r="G1649" s="118"/>
    </row>
    <row r="1650">
      <c r="A1650" s="137"/>
      <c r="B1650" s="138"/>
      <c r="C1650" s="133"/>
      <c r="D1650" s="133"/>
      <c r="E1650" s="116"/>
      <c r="F1650" s="139"/>
      <c r="G1650" s="118"/>
    </row>
    <row r="1651">
      <c r="A1651" s="137"/>
      <c r="B1651" s="138"/>
      <c r="C1651" s="133"/>
      <c r="D1651" s="133"/>
      <c r="E1651" s="116"/>
      <c r="F1651" s="139"/>
      <c r="G1651" s="118"/>
    </row>
    <row r="1652">
      <c r="A1652" s="137"/>
      <c r="B1652" s="138"/>
      <c r="C1652" s="133"/>
      <c r="D1652" s="133"/>
      <c r="E1652" s="116"/>
      <c r="F1652" s="139"/>
      <c r="G1652" s="118"/>
    </row>
    <row r="1653">
      <c r="A1653" s="137"/>
      <c r="B1653" s="138"/>
      <c r="C1653" s="133"/>
      <c r="D1653" s="133"/>
      <c r="E1653" s="116"/>
      <c r="F1653" s="139"/>
      <c r="G1653" s="118"/>
    </row>
    <row r="1654">
      <c r="A1654" s="137"/>
      <c r="B1654" s="138"/>
      <c r="C1654" s="133"/>
      <c r="D1654" s="133"/>
      <c r="E1654" s="116"/>
      <c r="F1654" s="139"/>
      <c r="G1654" s="118"/>
    </row>
    <row r="1655">
      <c r="A1655" s="137"/>
      <c r="B1655" s="138"/>
      <c r="C1655" s="133"/>
      <c r="D1655" s="133"/>
      <c r="E1655" s="116"/>
      <c r="F1655" s="139"/>
      <c r="G1655" s="118"/>
    </row>
    <row r="1656">
      <c r="A1656" s="137"/>
      <c r="B1656" s="138"/>
      <c r="C1656" s="133"/>
      <c r="D1656" s="133"/>
      <c r="E1656" s="116"/>
      <c r="F1656" s="139"/>
      <c r="G1656" s="118"/>
    </row>
    <row r="1657">
      <c r="A1657" s="137"/>
      <c r="B1657" s="138"/>
      <c r="C1657" s="133"/>
      <c r="D1657" s="133"/>
      <c r="E1657" s="116"/>
      <c r="F1657" s="139"/>
      <c r="G1657" s="118"/>
    </row>
    <row r="1658">
      <c r="A1658" s="137"/>
      <c r="B1658" s="138"/>
      <c r="C1658" s="133"/>
      <c r="D1658" s="133"/>
      <c r="E1658" s="116"/>
      <c r="F1658" s="139"/>
      <c r="G1658" s="118"/>
    </row>
    <row r="1659">
      <c r="A1659" s="137"/>
      <c r="B1659" s="138"/>
      <c r="C1659" s="133"/>
      <c r="D1659" s="133"/>
      <c r="E1659" s="116"/>
      <c r="F1659" s="139"/>
      <c r="G1659" s="118"/>
    </row>
    <row r="1660">
      <c r="A1660" s="137"/>
      <c r="B1660" s="138"/>
      <c r="C1660" s="133"/>
      <c r="D1660" s="133"/>
      <c r="E1660" s="116"/>
      <c r="F1660" s="139"/>
      <c r="G1660" s="118"/>
    </row>
    <row r="1661">
      <c r="A1661" s="137"/>
      <c r="B1661" s="138"/>
      <c r="C1661" s="133"/>
      <c r="D1661" s="133"/>
      <c r="E1661" s="116"/>
      <c r="F1661" s="139"/>
      <c r="G1661" s="118"/>
    </row>
    <row r="1662">
      <c r="A1662" s="137"/>
      <c r="B1662" s="138"/>
      <c r="C1662" s="133"/>
      <c r="D1662" s="133"/>
      <c r="E1662" s="116"/>
      <c r="F1662" s="139"/>
      <c r="G1662" s="118"/>
    </row>
    <row r="1663">
      <c r="A1663" s="137"/>
      <c r="B1663" s="138"/>
      <c r="C1663" s="133"/>
      <c r="D1663" s="133"/>
      <c r="E1663" s="116"/>
      <c r="F1663" s="139"/>
      <c r="G1663" s="118"/>
    </row>
    <row r="1664">
      <c r="A1664" s="137"/>
      <c r="B1664" s="138"/>
      <c r="C1664" s="133"/>
      <c r="D1664" s="133"/>
      <c r="E1664" s="116"/>
      <c r="F1664" s="139"/>
      <c r="G1664" s="118"/>
    </row>
    <row r="1665">
      <c r="A1665" s="137"/>
      <c r="B1665" s="138"/>
      <c r="C1665" s="133"/>
      <c r="D1665" s="133"/>
      <c r="E1665" s="116"/>
      <c r="F1665" s="139"/>
      <c r="G1665" s="118"/>
    </row>
    <row r="1666">
      <c r="A1666" s="137"/>
      <c r="B1666" s="138"/>
      <c r="C1666" s="133"/>
      <c r="D1666" s="133"/>
      <c r="E1666" s="116"/>
      <c r="F1666" s="139"/>
      <c r="G1666" s="118"/>
    </row>
    <row r="1667">
      <c r="A1667" s="137"/>
      <c r="B1667" s="138"/>
      <c r="C1667" s="133"/>
      <c r="D1667" s="133"/>
      <c r="E1667" s="116"/>
      <c r="F1667" s="139"/>
      <c r="G1667" s="118"/>
    </row>
    <row r="1668">
      <c r="A1668" s="137"/>
      <c r="B1668" s="138"/>
      <c r="C1668" s="133"/>
      <c r="D1668" s="133"/>
      <c r="E1668" s="116"/>
      <c r="F1668" s="139"/>
      <c r="G1668" s="118"/>
    </row>
    <row r="1669">
      <c r="A1669" s="137"/>
      <c r="B1669" s="138"/>
      <c r="C1669" s="133"/>
      <c r="D1669" s="133"/>
      <c r="E1669" s="116"/>
      <c r="F1669" s="139"/>
      <c r="G1669" s="118"/>
    </row>
    <row r="1670">
      <c r="A1670" s="137"/>
      <c r="B1670" s="138"/>
      <c r="C1670" s="133"/>
      <c r="D1670" s="133"/>
      <c r="E1670" s="116"/>
      <c r="F1670" s="139"/>
      <c r="G1670" s="118"/>
    </row>
    <row r="1671">
      <c r="A1671" s="137"/>
      <c r="B1671" s="138"/>
      <c r="C1671" s="133"/>
      <c r="D1671" s="133"/>
      <c r="E1671" s="116"/>
      <c r="F1671" s="139"/>
      <c r="G1671" s="118"/>
    </row>
    <row r="1672">
      <c r="A1672" s="137"/>
      <c r="B1672" s="138"/>
      <c r="C1672" s="133"/>
      <c r="D1672" s="133"/>
      <c r="E1672" s="116"/>
      <c r="F1672" s="139"/>
      <c r="G1672" s="118"/>
    </row>
    <row r="1673">
      <c r="A1673" s="137"/>
      <c r="B1673" s="138"/>
      <c r="C1673" s="133"/>
      <c r="D1673" s="133"/>
      <c r="E1673" s="116"/>
      <c r="F1673" s="139"/>
      <c r="G1673" s="118"/>
    </row>
    <row r="1674">
      <c r="A1674" s="137"/>
      <c r="B1674" s="138"/>
      <c r="C1674" s="133"/>
      <c r="D1674" s="133"/>
      <c r="E1674" s="116"/>
      <c r="F1674" s="139"/>
      <c r="G1674" s="118"/>
    </row>
    <row r="1675">
      <c r="A1675" s="137"/>
      <c r="B1675" s="138"/>
      <c r="C1675" s="133"/>
      <c r="D1675" s="140"/>
      <c r="E1675" s="116"/>
      <c r="F1675" s="139"/>
      <c r="G1675" s="118"/>
    </row>
    <row r="1676">
      <c r="A1676" s="137"/>
      <c r="B1676" s="138"/>
      <c r="C1676" s="133"/>
      <c r="D1676" s="140"/>
      <c r="E1676" s="116"/>
      <c r="F1676" s="139"/>
      <c r="G1676" s="118"/>
    </row>
    <row r="1677">
      <c r="A1677" s="137"/>
      <c r="B1677" s="138"/>
      <c r="C1677" s="133"/>
      <c r="D1677" s="133"/>
      <c r="E1677" s="116"/>
      <c r="F1677" s="139"/>
      <c r="G1677" s="118"/>
    </row>
    <row r="1678">
      <c r="A1678" s="137"/>
      <c r="B1678" s="138"/>
      <c r="C1678" s="133"/>
      <c r="D1678" s="133"/>
      <c r="E1678" s="116"/>
      <c r="F1678" s="139"/>
      <c r="G1678" s="118"/>
    </row>
    <row r="1679">
      <c r="A1679" s="137"/>
      <c r="B1679" s="138"/>
      <c r="C1679" s="133"/>
      <c r="D1679" s="133"/>
      <c r="E1679" s="116"/>
      <c r="F1679" s="139"/>
      <c r="G1679" s="118"/>
    </row>
    <row r="1680">
      <c r="A1680" s="137"/>
      <c r="B1680" s="138"/>
      <c r="C1680" s="133"/>
      <c r="D1680" s="133"/>
      <c r="E1680" s="116"/>
      <c r="F1680" s="139"/>
      <c r="G1680" s="118"/>
    </row>
    <row r="1681">
      <c r="A1681" s="137"/>
      <c r="B1681" s="138"/>
      <c r="C1681" s="133"/>
      <c r="D1681" s="133"/>
      <c r="E1681" s="116"/>
      <c r="F1681" s="139"/>
      <c r="G1681" s="118"/>
    </row>
    <row r="1682">
      <c r="A1682" s="137"/>
      <c r="B1682" s="138"/>
      <c r="C1682" s="133"/>
      <c r="D1682" s="133"/>
      <c r="E1682" s="116"/>
      <c r="F1682" s="139"/>
      <c r="G1682" s="118"/>
    </row>
    <row r="1683">
      <c r="A1683" s="137"/>
      <c r="B1683" s="138"/>
      <c r="C1683" s="133"/>
      <c r="D1683" s="133"/>
      <c r="E1683" s="116"/>
      <c r="F1683" s="139"/>
      <c r="G1683" s="118"/>
    </row>
    <row r="1684">
      <c r="A1684" s="137"/>
      <c r="B1684" s="138"/>
      <c r="C1684" s="133"/>
      <c r="D1684" s="133"/>
      <c r="E1684" s="116"/>
      <c r="F1684" s="138"/>
      <c r="G1684" s="118"/>
    </row>
    <row r="1685">
      <c r="A1685" s="137"/>
      <c r="B1685" s="138"/>
      <c r="C1685" s="133"/>
      <c r="D1685" s="133"/>
      <c r="E1685" s="116"/>
      <c r="F1685" s="138"/>
      <c r="G1685" s="118"/>
    </row>
    <row r="1686">
      <c r="A1686" s="137"/>
      <c r="B1686" s="138"/>
      <c r="C1686" s="133"/>
      <c r="D1686" s="133"/>
      <c r="E1686" s="116"/>
      <c r="F1686" s="138"/>
      <c r="G1686" s="118"/>
    </row>
    <row r="1687">
      <c r="A1687" s="137"/>
      <c r="B1687" s="138"/>
      <c r="C1687" s="133"/>
      <c r="D1687" s="133"/>
      <c r="E1687" s="116"/>
      <c r="F1687" s="138"/>
      <c r="G1687" s="118"/>
    </row>
    <row r="1688">
      <c r="A1688" s="137"/>
      <c r="B1688" s="138"/>
      <c r="C1688" s="133"/>
      <c r="D1688" s="133"/>
      <c r="E1688" s="116"/>
      <c r="F1688" s="138"/>
      <c r="G1688" s="118"/>
    </row>
    <row r="1689">
      <c r="A1689" s="137"/>
      <c r="B1689" s="138"/>
      <c r="C1689" s="133"/>
      <c r="D1689" s="133"/>
      <c r="E1689" s="116"/>
      <c r="F1689" s="138"/>
      <c r="G1689" s="118"/>
    </row>
    <row r="1690">
      <c r="A1690" s="137"/>
      <c r="B1690" s="138"/>
      <c r="C1690" s="133"/>
      <c r="D1690" s="133"/>
      <c r="E1690" s="116"/>
      <c r="F1690" s="138"/>
      <c r="G1690" s="118"/>
    </row>
    <row r="1691">
      <c r="A1691" s="137"/>
      <c r="B1691" s="138"/>
      <c r="C1691" s="133"/>
      <c r="D1691" s="133"/>
      <c r="E1691" s="116"/>
      <c r="F1691" s="138"/>
      <c r="G1691" s="118"/>
    </row>
    <row r="1692">
      <c r="A1692" s="137"/>
      <c r="B1692" s="138"/>
      <c r="C1692" s="133"/>
      <c r="D1692" s="133"/>
      <c r="E1692" s="116"/>
      <c r="F1692" s="138"/>
      <c r="G1692" s="118"/>
    </row>
    <row r="1693">
      <c r="A1693" s="137"/>
      <c r="B1693" s="138"/>
      <c r="C1693" s="133"/>
      <c r="D1693" s="133"/>
      <c r="E1693" s="116"/>
      <c r="F1693" s="138"/>
      <c r="G1693" s="118"/>
    </row>
    <row r="1694">
      <c r="A1694" s="137"/>
      <c r="B1694" s="138"/>
      <c r="C1694" s="133"/>
      <c r="D1694" s="133"/>
      <c r="E1694" s="116"/>
      <c r="F1694" s="138"/>
      <c r="G1694" s="118"/>
    </row>
    <row r="1695">
      <c r="A1695" s="137"/>
      <c r="B1695" s="138"/>
      <c r="C1695" s="133"/>
      <c r="D1695" s="133"/>
      <c r="E1695" s="116"/>
      <c r="F1695" s="138"/>
      <c r="G1695" s="118"/>
    </row>
    <row r="1696">
      <c r="A1696" s="137"/>
      <c r="B1696" s="138"/>
      <c r="C1696" s="133"/>
      <c r="D1696" s="133"/>
      <c r="E1696" s="116"/>
      <c r="F1696" s="138"/>
      <c r="G1696" s="118"/>
    </row>
    <row r="1697">
      <c r="A1697" s="137"/>
      <c r="B1697" s="138"/>
      <c r="C1697" s="133"/>
      <c r="D1697" s="133"/>
      <c r="E1697" s="116"/>
      <c r="F1697" s="138"/>
      <c r="G1697" s="118"/>
    </row>
    <row r="1698">
      <c r="A1698" s="137"/>
      <c r="B1698" s="138"/>
      <c r="C1698" s="133"/>
      <c r="D1698" s="133"/>
      <c r="E1698" s="116"/>
      <c r="F1698" s="138"/>
      <c r="G1698" s="118"/>
    </row>
    <row r="1699">
      <c r="A1699" s="137"/>
      <c r="B1699" s="138"/>
      <c r="C1699" s="133"/>
      <c r="D1699" s="133"/>
      <c r="E1699" s="116"/>
      <c r="F1699" s="138"/>
      <c r="G1699" s="118"/>
    </row>
    <row r="1700">
      <c r="A1700" s="137"/>
      <c r="B1700" s="138"/>
      <c r="C1700" s="133"/>
      <c r="D1700" s="133"/>
      <c r="E1700" s="116"/>
      <c r="F1700" s="138"/>
      <c r="G1700" s="118"/>
    </row>
    <row r="1701">
      <c r="A1701" s="137"/>
      <c r="B1701" s="138"/>
      <c r="C1701" s="133"/>
      <c r="D1701" s="133"/>
      <c r="E1701" s="116"/>
      <c r="F1701" s="138"/>
      <c r="G1701" s="118"/>
    </row>
    <row r="1702">
      <c r="A1702" s="137"/>
      <c r="B1702" s="138"/>
      <c r="C1702" s="133"/>
      <c r="D1702" s="133"/>
      <c r="E1702" s="116"/>
      <c r="F1702" s="138"/>
      <c r="G1702" s="118"/>
    </row>
    <row r="1703">
      <c r="A1703" s="137"/>
      <c r="B1703" s="138"/>
      <c r="C1703" s="133"/>
      <c r="D1703" s="133"/>
      <c r="E1703" s="116"/>
      <c r="F1703" s="138"/>
      <c r="G1703" s="118"/>
    </row>
    <row r="1704">
      <c r="A1704" s="137"/>
      <c r="B1704" s="138"/>
      <c r="C1704" s="133"/>
      <c r="D1704" s="133"/>
      <c r="E1704" s="116"/>
      <c r="F1704" s="138"/>
      <c r="G1704" s="118"/>
    </row>
    <row r="1705">
      <c r="A1705" s="137"/>
      <c r="B1705" s="138"/>
      <c r="C1705" s="133"/>
      <c r="D1705" s="133"/>
      <c r="E1705" s="116"/>
      <c r="F1705" s="138"/>
      <c r="G1705" s="118"/>
    </row>
    <row r="1706">
      <c r="A1706" s="137"/>
      <c r="B1706" s="138"/>
      <c r="C1706" s="133"/>
      <c r="D1706" s="133"/>
      <c r="E1706" s="116"/>
      <c r="F1706" s="138"/>
      <c r="G1706" s="118"/>
    </row>
    <row r="1707">
      <c r="A1707" s="137"/>
      <c r="B1707" s="138"/>
      <c r="C1707" s="133"/>
      <c r="D1707" s="133"/>
      <c r="E1707" s="116"/>
      <c r="F1707" s="138"/>
      <c r="G1707" s="118"/>
    </row>
    <row r="1708">
      <c r="A1708" s="137"/>
      <c r="B1708" s="138"/>
      <c r="C1708" s="133"/>
      <c r="D1708" s="133"/>
      <c r="E1708" s="116"/>
      <c r="F1708" s="138"/>
      <c r="G1708" s="118"/>
    </row>
    <row r="1709">
      <c r="A1709" s="137"/>
      <c r="B1709" s="138"/>
      <c r="C1709" s="133"/>
      <c r="D1709" s="133"/>
      <c r="E1709" s="116"/>
      <c r="F1709" s="138"/>
      <c r="G1709" s="118"/>
    </row>
    <row r="1710">
      <c r="A1710" s="137"/>
      <c r="B1710" s="138"/>
      <c r="C1710" s="133"/>
      <c r="D1710" s="133"/>
      <c r="E1710" s="116"/>
      <c r="F1710" s="138"/>
      <c r="G1710" s="118"/>
    </row>
    <row r="1711">
      <c r="A1711" s="137"/>
      <c r="B1711" s="138"/>
      <c r="C1711" s="133"/>
      <c r="D1711" s="133"/>
      <c r="E1711" s="116"/>
      <c r="F1711" s="138"/>
      <c r="G1711" s="118"/>
    </row>
    <row r="1712">
      <c r="A1712" s="137"/>
      <c r="B1712" s="138"/>
      <c r="C1712" s="133"/>
      <c r="D1712" s="133"/>
      <c r="E1712" s="116"/>
      <c r="F1712" s="138"/>
      <c r="G1712" s="118"/>
    </row>
    <row r="1713">
      <c r="A1713" s="137"/>
      <c r="B1713" s="138"/>
      <c r="C1713" s="133"/>
      <c r="D1713" s="133"/>
      <c r="E1713" s="116"/>
      <c r="F1713" s="138"/>
      <c r="G1713" s="118"/>
    </row>
    <row r="1714">
      <c r="A1714" s="137"/>
      <c r="B1714" s="138"/>
      <c r="C1714" s="133"/>
      <c r="D1714" s="133"/>
      <c r="E1714" s="116"/>
      <c r="F1714" s="138"/>
      <c r="G1714" s="118"/>
    </row>
    <row r="1715">
      <c r="A1715" s="137"/>
      <c r="B1715" s="138"/>
      <c r="C1715" s="133"/>
      <c r="D1715" s="133"/>
      <c r="E1715" s="116"/>
      <c r="F1715" s="138"/>
      <c r="G1715" s="118"/>
    </row>
    <row r="1716">
      <c r="A1716" s="137"/>
      <c r="B1716" s="138"/>
      <c r="C1716" s="133"/>
      <c r="D1716" s="133"/>
      <c r="E1716" s="116"/>
      <c r="F1716" s="138"/>
      <c r="G1716" s="118"/>
    </row>
    <row r="1717">
      <c r="A1717" s="137"/>
      <c r="B1717" s="138"/>
      <c r="C1717" s="133"/>
      <c r="D1717" s="133"/>
      <c r="E1717" s="116"/>
      <c r="F1717" s="138"/>
      <c r="G1717" s="118"/>
    </row>
    <row r="1718">
      <c r="A1718" s="137"/>
      <c r="B1718" s="138"/>
      <c r="C1718" s="133"/>
      <c r="D1718" s="133"/>
      <c r="E1718" s="116"/>
      <c r="F1718" s="138"/>
      <c r="G1718" s="118"/>
    </row>
    <row r="1719">
      <c r="A1719" s="137"/>
      <c r="B1719" s="138"/>
      <c r="C1719" s="133"/>
      <c r="D1719" s="133"/>
      <c r="E1719" s="116"/>
      <c r="F1719" s="138"/>
      <c r="G1719" s="118"/>
    </row>
    <row r="1720">
      <c r="A1720" s="137"/>
      <c r="B1720" s="138"/>
      <c r="C1720" s="133"/>
      <c r="D1720" s="133"/>
      <c r="E1720" s="116"/>
      <c r="F1720" s="138"/>
      <c r="G1720" s="118"/>
    </row>
    <row r="1721">
      <c r="A1721" s="137"/>
      <c r="B1721" s="138"/>
      <c r="C1721" s="133"/>
      <c r="D1721" s="133"/>
      <c r="E1721" s="116"/>
      <c r="F1721" s="138"/>
      <c r="G1721" s="118"/>
    </row>
    <row r="1722">
      <c r="A1722" s="137"/>
      <c r="B1722" s="138"/>
      <c r="C1722" s="133"/>
      <c r="D1722" s="133"/>
      <c r="E1722" s="116"/>
      <c r="F1722" s="138"/>
      <c r="G1722" s="118"/>
    </row>
    <row r="1723">
      <c r="A1723" s="137"/>
      <c r="B1723" s="138"/>
      <c r="C1723" s="133"/>
      <c r="D1723" s="133"/>
      <c r="E1723" s="116"/>
      <c r="F1723" s="138"/>
      <c r="G1723" s="118"/>
    </row>
    <row r="1724">
      <c r="A1724" s="137"/>
      <c r="B1724" s="138"/>
      <c r="C1724" s="133"/>
      <c r="D1724" s="133"/>
      <c r="E1724" s="116"/>
      <c r="F1724" s="138"/>
      <c r="G1724" s="118"/>
    </row>
    <row r="1725">
      <c r="A1725" s="137"/>
      <c r="B1725" s="138"/>
      <c r="C1725" s="133"/>
      <c r="D1725" s="133"/>
      <c r="E1725" s="116"/>
      <c r="F1725" s="138"/>
      <c r="G1725" s="118"/>
    </row>
    <row r="1726">
      <c r="A1726" s="137"/>
      <c r="B1726" s="138"/>
      <c r="C1726" s="133"/>
      <c r="D1726" s="133"/>
      <c r="E1726" s="116"/>
      <c r="F1726" s="138"/>
      <c r="G1726" s="118"/>
    </row>
    <row r="1727">
      <c r="A1727" s="137"/>
      <c r="B1727" s="138"/>
      <c r="C1727" s="133"/>
      <c r="D1727" s="133"/>
      <c r="E1727" s="116"/>
      <c r="F1727" s="138"/>
      <c r="G1727" s="118"/>
    </row>
    <row r="1728">
      <c r="A1728" s="137"/>
      <c r="B1728" s="138"/>
      <c r="C1728" s="133"/>
      <c r="D1728" s="133"/>
      <c r="E1728" s="116"/>
      <c r="F1728" s="138"/>
      <c r="G1728" s="118"/>
    </row>
    <row r="1729">
      <c r="A1729" s="137"/>
      <c r="B1729" s="138"/>
      <c r="C1729" s="133"/>
      <c r="D1729" s="133"/>
      <c r="E1729" s="116"/>
      <c r="F1729" s="138"/>
      <c r="G1729" s="118"/>
    </row>
    <row r="1730">
      <c r="A1730" s="137"/>
      <c r="B1730" s="138"/>
      <c r="C1730" s="133"/>
      <c r="D1730" s="133"/>
      <c r="E1730" s="116"/>
      <c r="F1730" s="138"/>
      <c r="G1730" s="118"/>
    </row>
    <row r="1731">
      <c r="A1731" s="137"/>
      <c r="B1731" s="138"/>
      <c r="C1731" s="133"/>
      <c r="D1731" s="133"/>
      <c r="E1731" s="116"/>
      <c r="F1731" s="138"/>
      <c r="G1731" s="118"/>
    </row>
    <row r="1732">
      <c r="A1732" s="137"/>
      <c r="B1732" s="138"/>
      <c r="C1732" s="133"/>
      <c r="D1732" s="133"/>
      <c r="E1732" s="116"/>
      <c r="F1732" s="138"/>
      <c r="G1732" s="118"/>
    </row>
    <row r="1733">
      <c r="A1733" s="137"/>
      <c r="B1733" s="138"/>
      <c r="C1733" s="133"/>
      <c r="D1733" s="133"/>
      <c r="E1733" s="116"/>
      <c r="F1733" s="138"/>
      <c r="G1733" s="118"/>
    </row>
    <row r="1734">
      <c r="A1734" s="137"/>
      <c r="B1734" s="138"/>
      <c r="C1734" s="133"/>
      <c r="D1734" s="133"/>
      <c r="E1734" s="116"/>
      <c r="F1734" s="138"/>
      <c r="G1734" s="118"/>
    </row>
    <row r="1735">
      <c r="A1735" s="137"/>
      <c r="B1735" s="138"/>
      <c r="C1735" s="133"/>
      <c r="D1735" s="133"/>
      <c r="E1735" s="116"/>
      <c r="F1735" s="138"/>
      <c r="G1735" s="118"/>
    </row>
    <row r="1736">
      <c r="A1736" s="137"/>
      <c r="B1736" s="138"/>
      <c r="C1736" s="133"/>
      <c r="D1736" s="133"/>
      <c r="E1736" s="116"/>
      <c r="F1736" s="138"/>
      <c r="G1736" s="118"/>
    </row>
    <row r="1737">
      <c r="A1737" s="137"/>
      <c r="B1737" s="138"/>
      <c r="C1737" s="133"/>
      <c r="D1737" s="133"/>
      <c r="E1737" s="116"/>
      <c r="F1737" s="138"/>
      <c r="G1737" s="118"/>
    </row>
    <row r="1738">
      <c r="A1738" s="137"/>
      <c r="B1738" s="138"/>
      <c r="C1738" s="133"/>
      <c r="D1738" s="133"/>
      <c r="E1738" s="116"/>
      <c r="F1738" s="138"/>
      <c r="G1738" s="118"/>
    </row>
    <row r="1739">
      <c r="A1739" s="137"/>
      <c r="B1739" s="138"/>
      <c r="C1739" s="133"/>
      <c r="D1739" s="133"/>
      <c r="E1739" s="116"/>
      <c r="F1739" s="138"/>
      <c r="G1739" s="118"/>
    </row>
    <row r="1740">
      <c r="A1740" s="137"/>
      <c r="B1740" s="138"/>
      <c r="C1740" s="133"/>
      <c r="D1740" s="133"/>
      <c r="E1740" s="116"/>
      <c r="F1740" s="138"/>
      <c r="G1740" s="118"/>
    </row>
    <row r="1741">
      <c r="A1741" s="137"/>
      <c r="B1741" s="138"/>
      <c r="C1741" s="133"/>
      <c r="D1741" s="133"/>
      <c r="E1741" s="116"/>
      <c r="F1741" s="138"/>
      <c r="G1741" s="118"/>
    </row>
    <row r="1742">
      <c r="A1742" s="137"/>
      <c r="B1742" s="138"/>
      <c r="C1742" s="133"/>
      <c r="D1742" s="133"/>
      <c r="E1742" s="116"/>
      <c r="F1742" s="138"/>
      <c r="G1742" s="118"/>
    </row>
    <row r="1743">
      <c r="A1743" s="137"/>
      <c r="B1743" s="138"/>
      <c r="C1743" s="133"/>
      <c r="D1743" s="133"/>
      <c r="E1743" s="116"/>
      <c r="F1743" s="138"/>
      <c r="G1743" s="118"/>
    </row>
    <row r="1744">
      <c r="A1744" s="137"/>
      <c r="B1744" s="138"/>
      <c r="C1744" s="133"/>
      <c r="D1744" s="133"/>
      <c r="E1744" s="116"/>
      <c r="F1744" s="138"/>
      <c r="G1744" s="118"/>
    </row>
    <row r="1745">
      <c r="A1745" s="137"/>
      <c r="B1745" s="138"/>
      <c r="C1745" s="133"/>
      <c r="D1745" s="133"/>
      <c r="E1745" s="116"/>
      <c r="F1745" s="138"/>
      <c r="G1745" s="118"/>
    </row>
    <row r="1746">
      <c r="A1746" s="137"/>
      <c r="B1746" s="138"/>
      <c r="C1746" s="133"/>
      <c r="D1746" s="133"/>
      <c r="E1746" s="116"/>
      <c r="F1746" s="138"/>
      <c r="G1746" s="118"/>
    </row>
    <row r="1747">
      <c r="A1747" s="137"/>
      <c r="B1747" s="138"/>
      <c r="C1747" s="133"/>
      <c r="D1747" s="133"/>
      <c r="E1747" s="116"/>
      <c r="F1747" s="138"/>
      <c r="G1747" s="118"/>
    </row>
    <row r="1748">
      <c r="A1748" s="137"/>
      <c r="B1748" s="138"/>
      <c r="C1748" s="133"/>
      <c r="D1748" s="133"/>
      <c r="E1748" s="116"/>
      <c r="F1748" s="138"/>
      <c r="G1748" s="118"/>
    </row>
    <row r="1749">
      <c r="A1749" s="137"/>
      <c r="B1749" s="138"/>
      <c r="C1749" s="133"/>
      <c r="D1749" s="133"/>
      <c r="E1749" s="116"/>
      <c r="F1749" s="138"/>
      <c r="G1749" s="118"/>
    </row>
    <row r="1750">
      <c r="A1750" s="137"/>
      <c r="B1750" s="138"/>
      <c r="C1750" s="133"/>
      <c r="D1750" s="133"/>
      <c r="E1750" s="116"/>
      <c r="F1750" s="138"/>
      <c r="G1750" s="118"/>
    </row>
    <row r="1751">
      <c r="A1751" s="137"/>
      <c r="B1751" s="138"/>
      <c r="C1751" s="133"/>
      <c r="D1751" s="133"/>
      <c r="E1751" s="116"/>
      <c r="F1751" s="138"/>
      <c r="G1751" s="118"/>
    </row>
    <row r="1752">
      <c r="A1752" s="137"/>
      <c r="B1752" s="138"/>
      <c r="C1752" s="133"/>
      <c r="D1752" s="133"/>
      <c r="E1752" s="116"/>
      <c r="F1752" s="138"/>
      <c r="G1752" s="118"/>
    </row>
    <row r="1753">
      <c r="A1753" s="137"/>
      <c r="B1753" s="138"/>
      <c r="C1753" s="133"/>
      <c r="D1753" s="133"/>
      <c r="E1753" s="116"/>
      <c r="F1753" s="138"/>
      <c r="G1753" s="118"/>
    </row>
    <row r="1754">
      <c r="A1754" s="137"/>
      <c r="B1754" s="138"/>
      <c r="C1754" s="133"/>
      <c r="D1754" s="133"/>
      <c r="E1754" s="116"/>
      <c r="F1754" s="138"/>
      <c r="G1754" s="118"/>
    </row>
    <row r="1755">
      <c r="A1755" s="137"/>
      <c r="B1755" s="138"/>
      <c r="C1755" s="133"/>
      <c r="D1755" s="133"/>
      <c r="E1755" s="116"/>
      <c r="F1755" s="138"/>
      <c r="G1755" s="118"/>
    </row>
    <row r="1756">
      <c r="A1756" s="137"/>
      <c r="B1756" s="138"/>
      <c r="C1756" s="133"/>
      <c r="D1756" s="133"/>
      <c r="E1756" s="116"/>
      <c r="F1756" s="138"/>
      <c r="G1756" s="118"/>
    </row>
    <row r="1757">
      <c r="A1757" s="137"/>
      <c r="B1757" s="138"/>
      <c r="C1757" s="133"/>
      <c r="D1757" s="133"/>
      <c r="E1757" s="116"/>
      <c r="F1757" s="138"/>
      <c r="G1757" s="118"/>
    </row>
    <row r="1758">
      <c r="A1758" s="137"/>
      <c r="B1758" s="138"/>
      <c r="C1758" s="133"/>
      <c r="D1758" s="133"/>
      <c r="E1758" s="116"/>
      <c r="F1758" s="138"/>
      <c r="G1758" s="118"/>
    </row>
    <row r="1759">
      <c r="A1759" s="137"/>
      <c r="B1759" s="138"/>
      <c r="C1759" s="133"/>
      <c r="D1759" s="133"/>
      <c r="E1759" s="116"/>
      <c r="F1759" s="138"/>
      <c r="G1759" s="118"/>
    </row>
    <row r="1760">
      <c r="A1760" s="137"/>
      <c r="B1760" s="138"/>
      <c r="C1760" s="133"/>
      <c r="D1760" s="133"/>
      <c r="E1760" s="116"/>
      <c r="F1760" s="139"/>
      <c r="G1760" s="118"/>
    </row>
    <row r="1761">
      <c r="A1761" s="137"/>
      <c r="B1761" s="138"/>
      <c r="C1761" s="133"/>
      <c r="D1761" s="133"/>
      <c r="E1761" s="116"/>
      <c r="F1761" s="139"/>
      <c r="G1761" s="118"/>
    </row>
    <row r="1762">
      <c r="A1762" s="137"/>
      <c r="B1762" s="138"/>
      <c r="C1762" s="133"/>
      <c r="D1762" s="133"/>
      <c r="E1762" s="116"/>
      <c r="F1762" s="139"/>
      <c r="G1762" s="118"/>
    </row>
    <row r="1763">
      <c r="A1763" s="137"/>
      <c r="B1763" s="138"/>
      <c r="C1763" s="133"/>
      <c r="D1763" s="133"/>
      <c r="E1763" s="116"/>
      <c r="F1763" s="139"/>
      <c r="G1763" s="118"/>
    </row>
    <row r="1764">
      <c r="A1764" s="137"/>
      <c r="B1764" s="138"/>
      <c r="C1764" s="133"/>
      <c r="D1764" s="133"/>
      <c r="E1764" s="116"/>
      <c r="F1764" s="139"/>
      <c r="G1764" s="118"/>
    </row>
    <row r="1765">
      <c r="A1765" s="137"/>
      <c r="B1765" s="138"/>
      <c r="C1765" s="133"/>
      <c r="D1765" s="133"/>
      <c r="E1765" s="116"/>
      <c r="F1765" s="139"/>
      <c r="G1765" s="118"/>
    </row>
    <row r="1766">
      <c r="A1766" s="137"/>
      <c r="B1766" s="138"/>
      <c r="C1766" s="133"/>
      <c r="D1766" s="133"/>
      <c r="E1766" s="116"/>
      <c r="F1766" s="139"/>
      <c r="G1766" s="118"/>
    </row>
    <row r="1767">
      <c r="A1767" s="137"/>
      <c r="B1767" s="138"/>
      <c r="C1767" s="133"/>
      <c r="D1767" s="133"/>
      <c r="E1767" s="116"/>
      <c r="F1767" s="139"/>
      <c r="G1767" s="118"/>
    </row>
    <row r="1768">
      <c r="A1768" s="137"/>
      <c r="B1768" s="138"/>
      <c r="C1768" s="133"/>
      <c r="D1768" s="133"/>
      <c r="E1768" s="116"/>
      <c r="F1768" s="139"/>
      <c r="G1768" s="118"/>
    </row>
    <row r="1769">
      <c r="A1769" s="137"/>
      <c r="B1769" s="138"/>
      <c r="C1769" s="133"/>
      <c r="D1769" s="133"/>
      <c r="E1769" s="116"/>
      <c r="F1769" s="139"/>
      <c r="G1769" s="118"/>
    </row>
    <row r="1770">
      <c r="A1770" s="137"/>
      <c r="B1770" s="138"/>
      <c r="C1770" s="133"/>
      <c r="D1770" s="140"/>
      <c r="E1770" s="116"/>
      <c r="F1770" s="139"/>
      <c r="G1770" s="118"/>
    </row>
    <row r="1771">
      <c r="A1771" s="137"/>
      <c r="B1771" s="138"/>
      <c r="C1771" s="133"/>
      <c r="D1771" s="133"/>
      <c r="E1771" s="116"/>
      <c r="F1771" s="139"/>
      <c r="G1771" s="118"/>
    </row>
    <row r="1772">
      <c r="A1772" s="137"/>
      <c r="B1772" s="138"/>
      <c r="C1772" s="133"/>
      <c r="D1772" s="133"/>
      <c r="E1772" s="116"/>
      <c r="F1772" s="139"/>
      <c r="G1772" s="118"/>
    </row>
    <row r="1773">
      <c r="A1773" s="137"/>
      <c r="B1773" s="138"/>
      <c r="C1773" s="133"/>
      <c r="D1773" s="133"/>
      <c r="E1773" s="116"/>
      <c r="F1773" s="139"/>
      <c r="G1773" s="118"/>
    </row>
    <row r="1774">
      <c r="A1774" s="137"/>
      <c r="B1774" s="138"/>
      <c r="C1774" s="133"/>
      <c r="D1774" s="133"/>
      <c r="E1774" s="116"/>
      <c r="F1774" s="139"/>
      <c r="G1774" s="118"/>
    </row>
    <row r="1775">
      <c r="A1775" s="137"/>
      <c r="B1775" s="138"/>
      <c r="C1775" s="133"/>
      <c r="D1775" s="133"/>
      <c r="E1775" s="116"/>
      <c r="F1775" s="139"/>
      <c r="G1775" s="118"/>
    </row>
    <row r="1776">
      <c r="A1776" s="137"/>
      <c r="B1776" s="138"/>
      <c r="C1776" s="133"/>
      <c r="D1776" s="133"/>
      <c r="E1776" s="116"/>
      <c r="F1776" s="139"/>
      <c r="G1776" s="118"/>
    </row>
    <row r="1777">
      <c r="A1777" s="137"/>
      <c r="B1777" s="138"/>
      <c r="C1777" s="133"/>
      <c r="D1777" s="133"/>
      <c r="E1777" s="116"/>
      <c r="F1777" s="139"/>
      <c r="G1777" s="118"/>
    </row>
    <row r="1778">
      <c r="A1778" s="137"/>
      <c r="B1778" s="138"/>
      <c r="C1778" s="133"/>
      <c r="D1778" s="133"/>
      <c r="E1778" s="116"/>
      <c r="F1778" s="139"/>
      <c r="G1778" s="118"/>
    </row>
    <row r="1779">
      <c r="A1779" s="137"/>
      <c r="B1779" s="138"/>
      <c r="C1779" s="133"/>
      <c r="D1779" s="142"/>
      <c r="E1779" s="116"/>
      <c r="F1779" s="139"/>
      <c r="G1779" s="118"/>
    </row>
    <row r="1780">
      <c r="A1780" s="136"/>
      <c r="B1780" s="133"/>
      <c r="C1780" s="136"/>
      <c r="D1780" s="136"/>
      <c r="E1780" s="116"/>
      <c r="F1780" s="116"/>
      <c r="G1780" s="118"/>
    </row>
    <row r="1781">
      <c r="A1781" s="136"/>
      <c r="B1781" s="133"/>
      <c r="C1781" s="136"/>
      <c r="D1781" s="136"/>
      <c r="E1781" s="116"/>
      <c r="F1781" s="116"/>
      <c r="G1781" s="118"/>
    </row>
    <row r="1782">
      <c r="A1782" s="136"/>
      <c r="B1782" s="133"/>
      <c r="C1782" s="136"/>
      <c r="D1782" s="136"/>
      <c r="E1782" s="116"/>
      <c r="F1782" s="116"/>
      <c r="G1782" s="118"/>
    </row>
    <row r="1783">
      <c r="A1783" s="136"/>
      <c r="B1783" s="133"/>
      <c r="C1783" s="136"/>
      <c r="D1783" s="136"/>
      <c r="E1783" s="116"/>
      <c r="F1783" s="116"/>
      <c r="G1783" s="118"/>
    </row>
    <row r="1784">
      <c r="A1784" s="136"/>
      <c r="B1784" s="133"/>
      <c r="C1784" s="136"/>
      <c r="D1784" s="136"/>
      <c r="E1784" s="116"/>
      <c r="F1784" s="116"/>
      <c r="G1784" s="118"/>
    </row>
    <row r="1785">
      <c r="A1785" s="136"/>
      <c r="B1785" s="133"/>
      <c r="C1785" s="136"/>
      <c r="D1785" s="136"/>
      <c r="E1785" s="116"/>
      <c r="F1785" s="116"/>
      <c r="G1785" s="118"/>
    </row>
    <row r="1786">
      <c r="A1786" s="136"/>
      <c r="B1786" s="133"/>
      <c r="C1786" s="136"/>
      <c r="D1786" s="136"/>
      <c r="E1786" s="116"/>
      <c r="F1786" s="116"/>
      <c r="G1786" s="118"/>
    </row>
    <row r="1787">
      <c r="A1787" s="136"/>
      <c r="B1787" s="133"/>
      <c r="C1787" s="136"/>
      <c r="D1787" s="136"/>
      <c r="E1787" s="116"/>
      <c r="F1787" s="116"/>
      <c r="G1787" s="118"/>
    </row>
    <row r="1788">
      <c r="A1788" s="136"/>
      <c r="B1788" s="133"/>
      <c r="C1788" s="136"/>
      <c r="D1788" s="136"/>
      <c r="E1788" s="116"/>
      <c r="F1788" s="116"/>
      <c r="G1788" s="118"/>
    </row>
    <row r="1789">
      <c r="A1789" s="136"/>
      <c r="B1789" s="133"/>
      <c r="C1789" s="136"/>
      <c r="D1789" s="136"/>
      <c r="E1789" s="116"/>
      <c r="F1789" s="116"/>
      <c r="G1789" s="118"/>
    </row>
    <row r="1790">
      <c r="A1790" s="136"/>
      <c r="B1790" s="133"/>
      <c r="C1790" s="136"/>
      <c r="D1790" s="136"/>
      <c r="E1790" s="116"/>
      <c r="F1790" s="116"/>
      <c r="G1790" s="118"/>
    </row>
    <row r="1791">
      <c r="A1791" s="136"/>
      <c r="B1791" s="133"/>
      <c r="C1791" s="136"/>
      <c r="D1791" s="136"/>
      <c r="E1791" s="116"/>
      <c r="F1791" s="116"/>
      <c r="G1791" s="118"/>
    </row>
    <row r="1792">
      <c r="A1792" s="136"/>
      <c r="B1792" s="133"/>
      <c r="C1792" s="136"/>
      <c r="D1792" s="136"/>
      <c r="E1792" s="116"/>
      <c r="F1792" s="116"/>
      <c r="G1792" s="118"/>
    </row>
    <row r="1793">
      <c r="A1793" s="136"/>
      <c r="B1793" s="133"/>
      <c r="C1793" s="136"/>
      <c r="D1793" s="136"/>
      <c r="E1793" s="116"/>
      <c r="F1793" s="116"/>
      <c r="G1793" s="118"/>
    </row>
    <row r="1794">
      <c r="A1794" s="136"/>
      <c r="B1794" s="133"/>
      <c r="C1794" s="136"/>
      <c r="D1794" s="136"/>
      <c r="E1794" s="116"/>
      <c r="F1794" s="116"/>
      <c r="G1794" s="118"/>
    </row>
    <row r="1795">
      <c r="A1795" s="136"/>
      <c r="B1795" s="133"/>
      <c r="C1795" s="136"/>
      <c r="D1795" s="136"/>
      <c r="E1795" s="116"/>
      <c r="F1795" s="116"/>
      <c r="G1795" s="118"/>
    </row>
    <row r="1796">
      <c r="A1796" s="136"/>
      <c r="B1796" s="133"/>
      <c r="C1796" s="136"/>
      <c r="D1796" s="136"/>
      <c r="E1796" s="116"/>
      <c r="F1796" s="116"/>
      <c r="G1796" s="118"/>
    </row>
    <row r="1797">
      <c r="A1797" s="136"/>
      <c r="B1797" s="133"/>
      <c r="C1797" s="136"/>
      <c r="D1797" s="136"/>
      <c r="E1797" s="116"/>
      <c r="F1797" s="116"/>
      <c r="G1797" s="118"/>
    </row>
    <row r="1798">
      <c r="A1798" s="136"/>
      <c r="B1798" s="133"/>
      <c r="C1798" s="136"/>
      <c r="D1798" s="136"/>
      <c r="E1798" s="116"/>
      <c r="F1798" s="116"/>
      <c r="G1798" s="118"/>
    </row>
    <row r="1799">
      <c r="A1799" s="136"/>
      <c r="B1799" s="133"/>
      <c r="C1799" s="136"/>
      <c r="D1799" s="136"/>
      <c r="E1799" s="116"/>
      <c r="F1799" s="116"/>
      <c r="G1799" s="118"/>
    </row>
    <row r="1800">
      <c r="A1800" s="136"/>
      <c r="B1800" s="133"/>
      <c r="C1800" s="136"/>
      <c r="D1800" s="136"/>
      <c r="E1800" s="116"/>
      <c r="F1800" s="116"/>
      <c r="G1800" s="118"/>
    </row>
    <row r="1801">
      <c r="A1801" s="136"/>
      <c r="B1801" s="133"/>
      <c r="C1801" s="136"/>
      <c r="D1801" s="136"/>
      <c r="E1801" s="116"/>
      <c r="F1801" s="116"/>
      <c r="G1801" s="118"/>
    </row>
    <row r="1802">
      <c r="A1802" s="136"/>
      <c r="B1802" s="133"/>
      <c r="C1802" s="136"/>
      <c r="D1802" s="136"/>
      <c r="E1802" s="116"/>
      <c r="F1802" s="116"/>
      <c r="G1802" s="118"/>
    </row>
    <row r="1803">
      <c r="A1803" s="136"/>
      <c r="B1803" s="133"/>
      <c r="C1803" s="136"/>
      <c r="D1803" s="136"/>
      <c r="E1803" s="116"/>
      <c r="F1803" s="116"/>
      <c r="G1803" s="118"/>
    </row>
    <row r="1804">
      <c r="A1804" s="136"/>
      <c r="B1804" s="133"/>
      <c r="C1804" s="136"/>
      <c r="D1804" s="136"/>
      <c r="E1804" s="116"/>
      <c r="F1804" s="116"/>
      <c r="G1804" s="118"/>
    </row>
    <row r="1805">
      <c r="A1805" s="136"/>
      <c r="B1805" s="133"/>
      <c r="C1805" s="136"/>
      <c r="D1805" s="136"/>
      <c r="E1805" s="116"/>
      <c r="F1805" s="116"/>
      <c r="G1805" s="118"/>
    </row>
    <row r="1806">
      <c r="A1806" s="136"/>
      <c r="B1806" s="133"/>
      <c r="C1806" s="136"/>
      <c r="D1806" s="136"/>
      <c r="E1806" s="116"/>
      <c r="F1806" s="116"/>
      <c r="G1806" s="118"/>
    </row>
    <row r="1807">
      <c r="A1807" s="136"/>
      <c r="B1807" s="133"/>
      <c r="C1807" s="136"/>
      <c r="D1807" s="136"/>
      <c r="E1807" s="116"/>
      <c r="F1807" s="116"/>
      <c r="G1807" s="118"/>
    </row>
    <row r="1808">
      <c r="A1808" s="136"/>
      <c r="B1808" s="133"/>
      <c r="C1808" s="136"/>
      <c r="D1808" s="136"/>
      <c r="E1808" s="116"/>
      <c r="F1808" s="116"/>
      <c r="G1808" s="118"/>
    </row>
    <row r="1809">
      <c r="A1809" s="136"/>
      <c r="B1809" s="133"/>
      <c r="C1809" s="136"/>
      <c r="D1809" s="136"/>
      <c r="E1809" s="116"/>
      <c r="F1809" s="116"/>
      <c r="G1809" s="118"/>
    </row>
    <row r="1810">
      <c r="A1810" s="136"/>
      <c r="B1810" s="133"/>
      <c r="C1810" s="136"/>
      <c r="D1810" s="136"/>
      <c r="E1810" s="116"/>
      <c r="F1810" s="116"/>
      <c r="G1810" s="118"/>
    </row>
    <row r="1811">
      <c r="A1811" s="136"/>
      <c r="B1811" s="133"/>
      <c r="C1811" s="136"/>
      <c r="D1811" s="136"/>
      <c r="E1811" s="116"/>
      <c r="F1811" s="116"/>
      <c r="G1811" s="118"/>
    </row>
    <row r="1812">
      <c r="A1812" s="136"/>
      <c r="B1812" s="133"/>
      <c r="C1812" s="136"/>
      <c r="D1812" s="136"/>
      <c r="E1812" s="116"/>
      <c r="F1812" s="116"/>
      <c r="G1812" s="118"/>
    </row>
    <row r="1813">
      <c r="A1813" s="136"/>
      <c r="B1813" s="133"/>
      <c r="C1813" s="136"/>
      <c r="D1813" s="136"/>
      <c r="E1813" s="116"/>
      <c r="F1813" s="116"/>
      <c r="G1813" s="118"/>
    </row>
    <row r="1814">
      <c r="A1814" s="136"/>
      <c r="B1814" s="133"/>
      <c r="C1814" s="136"/>
      <c r="D1814" s="136"/>
      <c r="E1814" s="116"/>
      <c r="F1814" s="116"/>
      <c r="G1814" s="118"/>
    </row>
    <row r="1815">
      <c r="A1815" s="136"/>
      <c r="B1815" s="133"/>
      <c r="C1815" s="136"/>
      <c r="D1815" s="136"/>
      <c r="E1815" s="116"/>
      <c r="F1815" s="116"/>
      <c r="G1815" s="118"/>
    </row>
    <row r="1816">
      <c r="A1816" s="136"/>
      <c r="B1816" s="133"/>
      <c r="C1816" s="136"/>
      <c r="D1816" s="136"/>
      <c r="E1816" s="116"/>
      <c r="F1816" s="116"/>
      <c r="G1816" s="118"/>
    </row>
    <row r="1817">
      <c r="A1817" s="136"/>
      <c r="B1817" s="133"/>
      <c r="C1817" s="136"/>
      <c r="D1817" s="136"/>
      <c r="E1817" s="116"/>
      <c r="F1817" s="116"/>
      <c r="G1817" s="118"/>
    </row>
    <row r="1818">
      <c r="A1818" s="136"/>
      <c r="B1818" s="133"/>
      <c r="C1818" s="136"/>
      <c r="D1818" s="136"/>
      <c r="E1818" s="116"/>
      <c r="F1818" s="116"/>
      <c r="G1818" s="118"/>
    </row>
    <row r="1819">
      <c r="A1819" s="136"/>
      <c r="B1819" s="133"/>
      <c r="C1819" s="136"/>
      <c r="D1819" s="136"/>
      <c r="E1819" s="116"/>
      <c r="F1819" s="116"/>
      <c r="G1819" s="118"/>
    </row>
    <row r="1820">
      <c r="A1820" s="136"/>
      <c r="B1820" s="133"/>
      <c r="C1820" s="136"/>
      <c r="D1820" s="136"/>
      <c r="E1820" s="116"/>
      <c r="F1820" s="116"/>
      <c r="G1820" s="118"/>
    </row>
    <row r="1821">
      <c r="A1821" s="136"/>
      <c r="B1821" s="133"/>
      <c r="C1821" s="136"/>
      <c r="D1821" s="136"/>
      <c r="E1821" s="116"/>
      <c r="F1821" s="116"/>
      <c r="G1821" s="118"/>
    </row>
    <row r="1822">
      <c r="A1822" s="136"/>
      <c r="B1822" s="133"/>
      <c r="C1822" s="136"/>
      <c r="D1822" s="136"/>
      <c r="E1822" s="116"/>
      <c r="F1822" s="116"/>
      <c r="G1822" s="118"/>
    </row>
    <row r="1823">
      <c r="A1823" s="136"/>
      <c r="B1823" s="133"/>
      <c r="C1823" s="136"/>
      <c r="D1823" s="136"/>
      <c r="E1823" s="116"/>
      <c r="F1823" s="116"/>
      <c r="G1823" s="118"/>
    </row>
    <row r="1824">
      <c r="A1824" s="136"/>
      <c r="B1824" s="133"/>
      <c r="C1824" s="136"/>
      <c r="D1824" s="136"/>
      <c r="E1824" s="116"/>
      <c r="F1824" s="116"/>
      <c r="G1824" s="118"/>
    </row>
    <row r="1825">
      <c r="A1825" s="136"/>
      <c r="B1825" s="133"/>
      <c r="C1825" s="136"/>
      <c r="D1825" s="136"/>
      <c r="E1825" s="116"/>
      <c r="F1825" s="116"/>
      <c r="G1825" s="118"/>
    </row>
    <row r="1826">
      <c r="A1826" s="136"/>
      <c r="B1826" s="133"/>
      <c r="C1826" s="136"/>
      <c r="D1826" s="136"/>
      <c r="E1826" s="116"/>
      <c r="F1826" s="116"/>
      <c r="G1826" s="118"/>
    </row>
    <row r="1827">
      <c r="A1827" s="136"/>
      <c r="B1827" s="133"/>
      <c r="C1827" s="136"/>
      <c r="D1827" s="136"/>
      <c r="E1827" s="116"/>
      <c r="F1827" s="116"/>
      <c r="G1827" s="118"/>
    </row>
    <row r="1828">
      <c r="A1828" s="136"/>
      <c r="B1828" s="133"/>
      <c r="C1828" s="136"/>
      <c r="D1828" s="136"/>
      <c r="E1828" s="116"/>
      <c r="F1828" s="116"/>
      <c r="G1828" s="118"/>
    </row>
    <row r="1829">
      <c r="A1829" s="136"/>
      <c r="B1829" s="133"/>
      <c r="C1829" s="136"/>
      <c r="D1829" s="136"/>
      <c r="E1829" s="116"/>
      <c r="F1829" s="116"/>
      <c r="G1829" s="118"/>
    </row>
    <row r="1830">
      <c r="A1830" s="136"/>
      <c r="B1830" s="133"/>
      <c r="C1830" s="136"/>
      <c r="D1830" s="136"/>
      <c r="E1830" s="116"/>
      <c r="F1830" s="116"/>
      <c r="G1830" s="118"/>
    </row>
    <row r="1831">
      <c r="A1831" s="136"/>
      <c r="B1831" s="133"/>
      <c r="C1831" s="136"/>
      <c r="D1831" s="136"/>
      <c r="E1831" s="116"/>
      <c r="F1831" s="116"/>
      <c r="G1831" s="118"/>
    </row>
    <row r="1832">
      <c r="A1832" s="136"/>
      <c r="B1832" s="133"/>
      <c r="C1832" s="136"/>
      <c r="D1832" s="136"/>
      <c r="E1832" s="116"/>
      <c r="F1832" s="116"/>
      <c r="G1832" s="118"/>
    </row>
    <row r="1833">
      <c r="A1833" s="136"/>
      <c r="B1833" s="133"/>
      <c r="C1833" s="136"/>
      <c r="D1833" s="136"/>
      <c r="E1833" s="116"/>
      <c r="F1833" s="116"/>
      <c r="G1833" s="118"/>
    </row>
    <row r="1834">
      <c r="A1834" s="136"/>
      <c r="B1834" s="133"/>
      <c r="C1834" s="136"/>
      <c r="D1834" s="136"/>
      <c r="E1834" s="116"/>
      <c r="F1834" s="116"/>
      <c r="G1834" s="118"/>
    </row>
    <row r="1835">
      <c r="A1835" s="136"/>
      <c r="B1835" s="133"/>
      <c r="C1835" s="136"/>
      <c r="D1835" s="136"/>
      <c r="E1835" s="116"/>
      <c r="F1835" s="116"/>
      <c r="G1835" s="118"/>
    </row>
    <row r="1836">
      <c r="A1836" s="136"/>
      <c r="B1836" s="133"/>
      <c r="C1836" s="136"/>
      <c r="D1836" s="136"/>
      <c r="E1836" s="116"/>
      <c r="F1836" s="116"/>
      <c r="G1836" s="118"/>
    </row>
    <row r="1837">
      <c r="A1837" s="136"/>
      <c r="B1837" s="133"/>
      <c r="C1837" s="136"/>
      <c r="D1837" s="136"/>
      <c r="E1837" s="116"/>
      <c r="F1837" s="116"/>
      <c r="G1837" s="118"/>
    </row>
    <row r="1838">
      <c r="A1838" s="136"/>
      <c r="B1838" s="133"/>
      <c r="C1838" s="136"/>
      <c r="D1838" s="136"/>
      <c r="E1838" s="116"/>
      <c r="F1838" s="116"/>
      <c r="G1838" s="118"/>
    </row>
    <row r="1839">
      <c r="A1839" s="136"/>
      <c r="B1839" s="133"/>
      <c r="C1839" s="136"/>
      <c r="D1839" s="136"/>
      <c r="E1839" s="116"/>
      <c r="F1839" s="116"/>
      <c r="G1839" s="118"/>
    </row>
    <row r="1840">
      <c r="A1840" s="136"/>
      <c r="B1840" s="133"/>
      <c r="C1840" s="136"/>
      <c r="D1840" s="136"/>
      <c r="E1840" s="116"/>
      <c r="F1840" s="116"/>
      <c r="G1840" s="118"/>
    </row>
    <row r="1841">
      <c r="A1841" s="136"/>
      <c r="B1841" s="133"/>
      <c r="C1841" s="136"/>
      <c r="D1841" s="136"/>
      <c r="E1841" s="116"/>
      <c r="F1841" s="116"/>
      <c r="G1841" s="118"/>
    </row>
    <row r="1842">
      <c r="A1842" s="136"/>
      <c r="B1842" s="133"/>
      <c r="C1842" s="136"/>
      <c r="D1842" s="136"/>
      <c r="E1842" s="116"/>
      <c r="F1842" s="116"/>
      <c r="G1842" s="118"/>
    </row>
    <row r="1843">
      <c r="A1843" s="136"/>
      <c r="B1843" s="133"/>
      <c r="C1843" s="136"/>
      <c r="D1843" s="136"/>
      <c r="E1843" s="116"/>
      <c r="F1843" s="116"/>
      <c r="G1843" s="118"/>
    </row>
    <row r="1844">
      <c r="A1844" s="136"/>
      <c r="B1844" s="133"/>
      <c r="C1844" s="136"/>
      <c r="D1844" s="136"/>
      <c r="E1844" s="116"/>
      <c r="F1844" s="116"/>
      <c r="G1844" s="118"/>
    </row>
    <row r="1845">
      <c r="A1845" s="136"/>
      <c r="B1845" s="133"/>
      <c r="C1845" s="136"/>
      <c r="D1845" s="136"/>
      <c r="E1845" s="116"/>
      <c r="F1845" s="116"/>
      <c r="G1845" s="118"/>
    </row>
    <row r="1846">
      <c r="A1846" s="136"/>
      <c r="B1846" s="133"/>
      <c r="C1846" s="136"/>
      <c r="D1846" s="136"/>
      <c r="E1846" s="116"/>
      <c r="F1846" s="116"/>
      <c r="G1846" s="118"/>
    </row>
    <row r="1847">
      <c r="A1847" s="136"/>
      <c r="B1847" s="133"/>
      <c r="C1847" s="136"/>
      <c r="D1847" s="136"/>
      <c r="E1847" s="116"/>
      <c r="F1847" s="116"/>
      <c r="G1847" s="118"/>
    </row>
    <row r="1848">
      <c r="A1848" s="136"/>
      <c r="B1848" s="133"/>
      <c r="C1848" s="136"/>
      <c r="D1848" s="136"/>
      <c r="E1848" s="116"/>
      <c r="F1848" s="116"/>
      <c r="G1848" s="118"/>
    </row>
    <row r="1849">
      <c r="A1849" s="136"/>
      <c r="B1849" s="133"/>
      <c r="C1849" s="136"/>
      <c r="D1849" s="136"/>
      <c r="E1849" s="116"/>
      <c r="F1849" s="116"/>
      <c r="G1849" s="118"/>
    </row>
    <row r="1850">
      <c r="A1850" s="136"/>
      <c r="B1850" s="133"/>
      <c r="C1850" s="136"/>
      <c r="D1850" s="136"/>
      <c r="E1850" s="116"/>
      <c r="F1850" s="116"/>
      <c r="G1850" s="118"/>
    </row>
    <row r="1851">
      <c r="A1851" s="136"/>
      <c r="B1851" s="133"/>
      <c r="C1851" s="136"/>
      <c r="D1851" s="136"/>
      <c r="E1851" s="116"/>
      <c r="F1851" s="116"/>
      <c r="G1851" s="118"/>
    </row>
    <row r="1852">
      <c r="A1852" s="136"/>
      <c r="B1852" s="133"/>
      <c r="C1852" s="136"/>
      <c r="D1852" s="136"/>
      <c r="E1852" s="116"/>
      <c r="F1852" s="116"/>
      <c r="G1852" s="118"/>
    </row>
    <row r="1853">
      <c r="A1853" s="136"/>
      <c r="B1853" s="133"/>
      <c r="C1853" s="136"/>
      <c r="D1853" s="136"/>
      <c r="E1853" s="116"/>
      <c r="F1853" s="116"/>
      <c r="G1853" s="118"/>
    </row>
    <row r="1854">
      <c r="A1854" s="136"/>
      <c r="B1854" s="133"/>
      <c r="C1854" s="136"/>
      <c r="D1854" s="136"/>
      <c r="E1854" s="116"/>
      <c r="F1854" s="116"/>
      <c r="G1854" s="118"/>
    </row>
    <row r="1855">
      <c r="A1855" s="136"/>
      <c r="B1855" s="133"/>
      <c r="C1855" s="136"/>
      <c r="D1855" s="136"/>
      <c r="E1855" s="116"/>
      <c r="F1855" s="116"/>
      <c r="G1855" s="118"/>
    </row>
    <row r="1856">
      <c r="A1856" s="136"/>
      <c r="B1856" s="133"/>
      <c r="C1856" s="136"/>
      <c r="D1856" s="136"/>
      <c r="E1856" s="116"/>
      <c r="F1856" s="116"/>
      <c r="G1856" s="118"/>
    </row>
    <row r="1857">
      <c r="A1857" s="136"/>
      <c r="B1857" s="133"/>
      <c r="C1857" s="136"/>
      <c r="D1857" s="136"/>
      <c r="E1857" s="116"/>
      <c r="F1857" s="116"/>
      <c r="G1857" s="118"/>
    </row>
    <row r="1858">
      <c r="A1858" s="136"/>
      <c r="B1858" s="133"/>
      <c r="C1858" s="136"/>
      <c r="D1858" s="136"/>
      <c r="E1858" s="116"/>
      <c r="F1858" s="116"/>
      <c r="G1858" s="118"/>
    </row>
    <row r="1859">
      <c r="A1859" s="136"/>
      <c r="B1859" s="133"/>
      <c r="C1859" s="136"/>
      <c r="D1859" s="136"/>
      <c r="E1859" s="116"/>
      <c r="F1859" s="116"/>
      <c r="G1859" s="118"/>
    </row>
    <row r="1860">
      <c r="A1860" s="136"/>
      <c r="B1860" s="133"/>
      <c r="C1860" s="136"/>
      <c r="D1860" s="136"/>
      <c r="E1860" s="116"/>
      <c r="F1860" s="116"/>
      <c r="G1860" s="118"/>
    </row>
    <row r="1861">
      <c r="A1861" s="136"/>
      <c r="B1861" s="133"/>
      <c r="C1861" s="136"/>
      <c r="D1861" s="136"/>
      <c r="E1861" s="116"/>
      <c r="F1861" s="116"/>
      <c r="G1861" s="118"/>
    </row>
    <row r="1862">
      <c r="A1862" s="136"/>
      <c r="B1862" s="133"/>
      <c r="C1862" s="136"/>
      <c r="D1862" s="136"/>
      <c r="E1862" s="116"/>
      <c r="F1862" s="116"/>
      <c r="G1862" s="118"/>
    </row>
    <row r="1863">
      <c r="A1863" s="136"/>
      <c r="B1863" s="133"/>
      <c r="C1863" s="136"/>
      <c r="D1863" s="136"/>
      <c r="E1863" s="116"/>
      <c r="F1863" s="116"/>
      <c r="G1863" s="118"/>
    </row>
    <row r="1864">
      <c r="A1864" s="136"/>
      <c r="B1864" s="133"/>
      <c r="C1864" s="136"/>
      <c r="D1864" s="136"/>
      <c r="E1864" s="116"/>
      <c r="F1864" s="116"/>
      <c r="G1864" s="118"/>
    </row>
    <row r="1865">
      <c r="A1865" s="136"/>
      <c r="B1865" s="133"/>
      <c r="C1865" s="136"/>
      <c r="D1865" s="136"/>
      <c r="E1865" s="116"/>
      <c r="F1865" s="116"/>
      <c r="G1865" s="118"/>
    </row>
    <row r="1866">
      <c r="A1866" s="136"/>
      <c r="B1866" s="133"/>
      <c r="C1866" s="136"/>
      <c r="D1866" s="136"/>
      <c r="E1866" s="116"/>
      <c r="F1866" s="116"/>
      <c r="G1866" s="118"/>
    </row>
    <row r="1867">
      <c r="A1867" s="136"/>
      <c r="B1867" s="133"/>
      <c r="C1867" s="136"/>
      <c r="D1867" s="136"/>
      <c r="E1867" s="116"/>
      <c r="F1867" s="116"/>
      <c r="G1867" s="118"/>
    </row>
    <row r="1868">
      <c r="A1868" s="136"/>
      <c r="B1868" s="133"/>
      <c r="C1868" s="136"/>
      <c r="D1868" s="136"/>
      <c r="E1868" s="116"/>
      <c r="F1868" s="116"/>
      <c r="G1868" s="118"/>
    </row>
    <row r="1869">
      <c r="A1869" s="136"/>
      <c r="B1869" s="133"/>
      <c r="C1869" s="136"/>
      <c r="D1869" s="136"/>
      <c r="E1869" s="116"/>
      <c r="F1869" s="116"/>
      <c r="G1869" s="118"/>
    </row>
    <row r="1870">
      <c r="A1870" s="136"/>
      <c r="B1870" s="133"/>
      <c r="C1870" s="136"/>
      <c r="D1870" s="136"/>
      <c r="E1870" s="116"/>
      <c r="F1870" s="116"/>
      <c r="G1870" s="118"/>
    </row>
    <row r="1871">
      <c r="A1871" s="136"/>
      <c r="B1871" s="133"/>
      <c r="C1871" s="136"/>
      <c r="D1871" s="136"/>
      <c r="E1871" s="116"/>
      <c r="F1871" s="116"/>
      <c r="G1871" s="118"/>
    </row>
    <row r="1872">
      <c r="A1872" s="136"/>
      <c r="B1872" s="133"/>
      <c r="C1872" s="136"/>
      <c r="D1872" s="136"/>
      <c r="E1872" s="116"/>
      <c r="F1872" s="116"/>
      <c r="G1872" s="118"/>
    </row>
    <row r="1873">
      <c r="A1873" s="136"/>
      <c r="B1873" s="133"/>
      <c r="C1873" s="136"/>
      <c r="D1873" s="136"/>
      <c r="E1873" s="116"/>
      <c r="F1873" s="116"/>
      <c r="G1873" s="118"/>
    </row>
    <row r="1874">
      <c r="A1874" s="136"/>
      <c r="B1874" s="133"/>
      <c r="C1874" s="136"/>
      <c r="D1874" s="136"/>
      <c r="E1874" s="116"/>
      <c r="F1874" s="116"/>
      <c r="G1874" s="118"/>
    </row>
    <row r="1875">
      <c r="A1875" s="136"/>
      <c r="B1875" s="133"/>
      <c r="C1875" s="136"/>
      <c r="D1875" s="136"/>
      <c r="E1875" s="116"/>
      <c r="F1875" s="116"/>
      <c r="G1875" s="118"/>
    </row>
    <row r="1876">
      <c r="A1876" s="136"/>
      <c r="B1876" s="133"/>
      <c r="C1876" s="136"/>
      <c r="D1876" s="136"/>
      <c r="E1876" s="116"/>
      <c r="F1876" s="116"/>
      <c r="G1876" s="118"/>
    </row>
    <row r="1877">
      <c r="A1877" s="136"/>
      <c r="B1877" s="133"/>
      <c r="C1877" s="136"/>
      <c r="D1877" s="136"/>
      <c r="E1877" s="116"/>
      <c r="F1877" s="116"/>
      <c r="G1877" s="118"/>
    </row>
    <row r="1878">
      <c r="A1878" s="136"/>
      <c r="B1878" s="133"/>
      <c r="C1878" s="136"/>
      <c r="D1878" s="136"/>
      <c r="E1878" s="116"/>
      <c r="F1878" s="116"/>
      <c r="G1878" s="118"/>
    </row>
    <row r="1879">
      <c r="A1879" s="136"/>
      <c r="B1879" s="133"/>
      <c r="C1879" s="136"/>
      <c r="D1879" s="136"/>
      <c r="E1879" s="116"/>
      <c r="F1879" s="116"/>
      <c r="G1879" s="118"/>
    </row>
    <row r="1880">
      <c r="A1880" s="136"/>
      <c r="B1880" s="133"/>
      <c r="C1880" s="136"/>
      <c r="D1880" s="136"/>
      <c r="E1880" s="116"/>
      <c r="F1880" s="116"/>
      <c r="G1880" s="118"/>
    </row>
    <row r="1881">
      <c r="A1881" s="136"/>
      <c r="B1881" s="133"/>
      <c r="C1881" s="136"/>
      <c r="D1881" s="136"/>
      <c r="E1881" s="116"/>
      <c r="F1881" s="116"/>
      <c r="G1881" s="118"/>
    </row>
    <row r="1882">
      <c r="A1882" s="136"/>
      <c r="B1882" s="133"/>
      <c r="C1882" s="136"/>
      <c r="D1882" s="136"/>
      <c r="E1882" s="116"/>
      <c r="F1882" s="116"/>
      <c r="G1882" s="118"/>
    </row>
    <row r="1883">
      <c r="A1883" s="136"/>
      <c r="B1883" s="133"/>
      <c r="C1883" s="136"/>
      <c r="D1883" s="136"/>
      <c r="E1883" s="116"/>
      <c r="F1883" s="116"/>
      <c r="G1883" s="118"/>
    </row>
    <row r="1884">
      <c r="A1884" s="136"/>
      <c r="B1884" s="133"/>
      <c r="C1884" s="136"/>
      <c r="D1884" s="136"/>
      <c r="E1884" s="116"/>
      <c r="F1884" s="116"/>
      <c r="G1884" s="118"/>
    </row>
    <row r="1885">
      <c r="A1885" s="136"/>
      <c r="B1885" s="133"/>
      <c r="C1885" s="136"/>
      <c r="D1885" s="136"/>
      <c r="E1885" s="116"/>
      <c r="F1885" s="116"/>
      <c r="G1885" s="118"/>
    </row>
    <row r="1886">
      <c r="A1886" s="136"/>
      <c r="B1886" s="133"/>
      <c r="C1886" s="136"/>
      <c r="D1886" s="136"/>
      <c r="E1886" s="116"/>
      <c r="F1886" s="116"/>
      <c r="G1886" s="118"/>
    </row>
    <row r="1887">
      <c r="A1887" s="136"/>
      <c r="B1887" s="133"/>
      <c r="C1887" s="136"/>
      <c r="D1887" s="136"/>
      <c r="E1887" s="116"/>
      <c r="F1887" s="116"/>
      <c r="G1887" s="118"/>
    </row>
    <row r="1888">
      <c r="A1888" s="136"/>
      <c r="B1888" s="133"/>
      <c r="C1888" s="136"/>
      <c r="D1888" s="136"/>
      <c r="E1888" s="116"/>
      <c r="F1888" s="116"/>
      <c r="G1888" s="118"/>
    </row>
    <row r="1889">
      <c r="A1889" s="136"/>
      <c r="B1889" s="133"/>
      <c r="C1889" s="136"/>
      <c r="D1889" s="136"/>
      <c r="E1889" s="116"/>
      <c r="F1889" s="116"/>
      <c r="G1889" s="118"/>
    </row>
    <row r="1890">
      <c r="A1890" s="136"/>
      <c r="B1890" s="133"/>
      <c r="C1890" s="136"/>
      <c r="D1890" s="136"/>
      <c r="E1890" s="116"/>
      <c r="F1890" s="116"/>
      <c r="G1890" s="118"/>
    </row>
    <row r="1891">
      <c r="A1891" s="136"/>
      <c r="B1891" s="133"/>
      <c r="C1891" s="136"/>
      <c r="D1891" s="136"/>
      <c r="E1891" s="116"/>
      <c r="F1891" s="116"/>
      <c r="G1891" s="118"/>
    </row>
    <row r="1892">
      <c r="A1892" s="136"/>
      <c r="B1892" s="133"/>
      <c r="C1892" s="136"/>
      <c r="D1892" s="136"/>
      <c r="E1892" s="116"/>
      <c r="F1892" s="116"/>
      <c r="G1892" s="118"/>
    </row>
    <row r="1893">
      <c r="A1893" s="136"/>
      <c r="B1893" s="133"/>
      <c r="C1893" s="136"/>
      <c r="D1893" s="136"/>
      <c r="E1893" s="116"/>
      <c r="F1893" s="116"/>
      <c r="G1893" s="118"/>
    </row>
    <row r="1894">
      <c r="A1894" s="136"/>
      <c r="B1894" s="133"/>
      <c r="C1894" s="136"/>
      <c r="D1894" s="136"/>
      <c r="E1894" s="116"/>
      <c r="F1894" s="116"/>
      <c r="G1894" s="118"/>
    </row>
    <row r="1895">
      <c r="A1895" s="136"/>
      <c r="B1895" s="133"/>
      <c r="C1895" s="136"/>
      <c r="D1895" s="136"/>
      <c r="E1895" s="116"/>
      <c r="F1895" s="116"/>
      <c r="G1895" s="118"/>
    </row>
    <row r="1896">
      <c r="A1896" s="136"/>
      <c r="B1896" s="133"/>
      <c r="C1896" s="136"/>
      <c r="D1896" s="136"/>
      <c r="E1896" s="116"/>
      <c r="F1896" s="116"/>
      <c r="G1896" s="118"/>
    </row>
    <row r="1897">
      <c r="A1897" s="136"/>
      <c r="B1897" s="133"/>
      <c r="C1897" s="136"/>
      <c r="D1897" s="136"/>
      <c r="E1897" s="116"/>
      <c r="F1897" s="116"/>
      <c r="G1897" s="118"/>
    </row>
    <row r="1898">
      <c r="A1898" s="136"/>
      <c r="B1898" s="133"/>
      <c r="C1898" s="136"/>
      <c r="D1898" s="136"/>
      <c r="E1898" s="116"/>
      <c r="F1898" s="116"/>
      <c r="G1898" s="118"/>
    </row>
    <row r="1899">
      <c r="A1899" s="136"/>
      <c r="B1899" s="133"/>
      <c r="C1899" s="136"/>
      <c r="D1899" s="136"/>
      <c r="E1899" s="116"/>
      <c r="F1899" s="116"/>
      <c r="G1899" s="118"/>
    </row>
    <row r="1900">
      <c r="A1900" s="136"/>
      <c r="B1900" s="133"/>
      <c r="C1900" s="136"/>
      <c r="D1900" s="136"/>
      <c r="E1900" s="116"/>
      <c r="F1900" s="116"/>
      <c r="G1900" s="118"/>
    </row>
    <row r="1901">
      <c r="A1901" s="136"/>
      <c r="B1901" s="133"/>
      <c r="C1901" s="136"/>
      <c r="D1901" s="136"/>
      <c r="E1901" s="116"/>
      <c r="F1901" s="116"/>
      <c r="G1901" s="118"/>
    </row>
    <row r="1902">
      <c r="A1902" s="136"/>
      <c r="B1902" s="133"/>
      <c r="C1902" s="136"/>
      <c r="D1902" s="136"/>
      <c r="E1902" s="116"/>
      <c r="F1902" s="116"/>
      <c r="G1902" s="118"/>
    </row>
    <row r="1903">
      <c r="A1903" s="136"/>
      <c r="B1903" s="133"/>
      <c r="C1903" s="136"/>
      <c r="D1903" s="136"/>
      <c r="E1903" s="116"/>
      <c r="F1903" s="116"/>
      <c r="G1903" s="118"/>
    </row>
    <row r="1904">
      <c r="A1904" s="136"/>
      <c r="B1904" s="133"/>
      <c r="C1904" s="136"/>
      <c r="D1904" s="136"/>
      <c r="E1904" s="116"/>
      <c r="F1904" s="116"/>
      <c r="G1904" s="118"/>
    </row>
    <row r="1905">
      <c r="A1905" s="136"/>
      <c r="B1905" s="133"/>
      <c r="C1905" s="136"/>
      <c r="D1905" s="136"/>
      <c r="E1905" s="116"/>
      <c r="F1905" s="116"/>
      <c r="G1905" s="118"/>
    </row>
    <row r="1906">
      <c r="A1906" s="136"/>
      <c r="B1906" s="133"/>
      <c r="C1906" s="136"/>
      <c r="D1906" s="136"/>
      <c r="E1906" s="116"/>
      <c r="F1906" s="116"/>
      <c r="G1906" s="118"/>
    </row>
    <row r="1907">
      <c r="A1907" s="136"/>
      <c r="B1907" s="133"/>
      <c r="C1907" s="136"/>
      <c r="D1907" s="136"/>
      <c r="E1907" s="116"/>
      <c r="F1907" s="116"/>
      <c r="G1907" s="118"/>
    </row>
    <row r="1908">
      <c r="A1908" s="136"/>
      <c r="B1908" s="133"/>
      <c r="C1908" s="136"/>
      <c r="D1908" s="136"/>
      <c r="E1908" s="116"/>
      <c r="F1908" s="116"/>
      <c r="G1908" s="118"/>
    </row>
    <row r="1909">
      <c r="A1909" s="136"/>
      <c r="B1909" s="133"/>
      <c r="C1909" s="136"/>
      <c r="D1909" s="136"/>
      <c r="E1909" s="116"/>
      <c r="F1909" s="116"/>
      <c r="G1909" s="118"/>
    </row>
    <row r="1910">
      <c r="A1910" s="136"/>
      <c r="B1910" s="133"/>
      <c r="C1910" s="136"/>
      <c r="D1910" s="136"/>
      <c r="E1910" s="116"/>
      <c r="F1910" s="116"/>
      <c r="G1910" s="118"/>
    </row>
    <row r="1911">
      <c r="A1911" s="136"/>
      <c r="B1911" s="133"/>
      <c r="C1911" s="136"/>
      <c r="D1911" s="136"/>
      <c r="E1911" s="116"/>
      <c r="F1911" s="116"/>
      <c r="G1911" s="118"/>
    </row>
    <row r="1912">
      <c r="A1912" s="136"/>
      <c r="B1912" s="133"/>
      <c r="C1912" s="136"/>
      <c r="D1912" s="136"/>
      <c r="E1912" s="116"/>
      <c r="F1912" s="116"/>
      <c r="G1912" s="118"/>
    </row>
    <row r="1913">
      <c r="A1913" s="136"/>
      <c r="B1913" s="133"/>
      <c r="C1913" s="136"/>
      <c r="D1913" s="136"/>
      <c r="E1913" s="116"/>
      <c r="F1913" s="116"/>
      <c r="G1913" s="118"/>
    </row>
    <row r="1914">
      <c r="A1914" s="136"/>
      <c r="B1914" s="133"/>
      <c r="C1914" s="136"/>
      <c r="D1914" s="136"/>
      <c r="E1914" s="116"/>
      <c r="F1914" s="116"/>
      <c r="G1914" s="118"/>
    </row>
    <row r="1915">
      <c r="A1915" s="136"/>
      <c r="B1915" s="133"/>
      <c r="C1915" s="136"/>
      <c r="D1915" s="136"/>
      <c r="E1915" s="116"/>
      <c r="F1915" s="116"/>
      <c r="G1915" s="118"/>
    </row>
    <row r="1916">
      <c r="A1916" s="136"/>
      <c r="B1916" s="133"/>
      <c r="C1916" s="136"/>
      <c r="D1916" s="136"/>
      <c r="E1916" s="116"/>
      <c r="F1916" s="116"/>
      <c r="G1916" s="118"/>
    </row>
    <row r="1917">
      <c r="A1917" s="136"/>
      <c r="B1917" s="133"/>
      <c r="C1917" s="136"/>
      <c r="D1917" s="136"/>
      <c r="E1917" s="116"/>
      <c r="F1917" s="116"/>
      <c r="G1917" s="118"/>
    </row>
    <row r="1918">
      <c r="A1918" s="136"/>
      <c r="B1918" s="133"/>
      <c r="C1918" s="136"/>
      <c r="D1918" s="136"/>
      <c r="E1918" s="116"/>
      <c r="F1918" s="116"/>
      <c r="G1918" s="118"/>
    </row>
    <row r="1919">
      <c r="A1919" s="136"/>
      <c r="B1919" s="133"/>
      <c r="C1919" s="136"/>
      <c r="D1919" s="136"/>
      <c r="E1919" s="116"/>
      <c r="F1919" s="116"/>
      <c r="G1919" s="118"/>
    </row>
    <row r="1920">
      <c r="A1920" s="136"/>
      <c r="B1920" s="133"/>
      <c r="C1920" s="136"/>
      <c r="D1920" s="136"/>
      <c r="E1920" s="116"/>
      <c r="F1920" s="116"/>
      <c r="G1920" s="118"/>
    </row>
    <row r="1921">
      <c r="A1921" s="136"/>
      <c r="B1921" s="133"/>
      <c r="C1921" s="136"/>
      <c r="D1921" s="136"/>
      <c r="E1921" s="116"/>
      <c r="F1921" s="116"/>
      <c r="G1921" s="118"/>
    </row>
    <row r="1922">
      <c r="A1922" s="136"/>
      <c r="B1922" s="133"/>
      <c r="C1922" s="136"/>
      <c r="D1922" s="136"/>
      <c r="E1922" s="116"/>
      <c r="F1922" s="116"/>
      <c r="G1922" s="118"/>
    </row>
    <row r="1923">
      <c r="A1923" s="136"/>
      <c r="B1923" s="133"/>
      <c r="C1923" s="136"/>
      <c r="D1923" s="136"/>
      <c r="E1923" s="116"/>
      <c r="F1923" s="116"/>
      <c r="G1923" s="118"/>
    </row>
    <row r="1924">
      <c r="A1924" s="136"/>
      <c r="B1924" s="133"/>
      <c r="C1924" s="136"/>
      <c r="D1924" s="136"/>
      <c r="E1924" s="116"/>
      <c r="F1924" s="116"/>
      <c r="G1924" s="118"/>
    </row>
    <row r="1925">
      <c r="A1925" s="136"/>
      <c r="B1925" s="133"/>
      <c r="C1925" s="136"/>
      <c r="D1925" s="136"/>
      <c r="E1925" s="116"/>
      <c r="F1925" s="116"/>
      <c r="G1925" s="118"/>
    </row>
    <row r="1926">
      <c r="A1926" s="136"/>
      <c r="B1926" s="133"/>
      <c r="C1926" s="136"/>
      <c r="D1926" s="136"/>
      <c r="E1926" s="116"/>
      <c r="F1926" s="116"/>
      <c r="G1926" s="118"/>
    </row>
    <row r="1927">
      <c r="A1927" s="136"/>
      <c r="B1927" s="133"/>
      <c r="C1927" s="136"/>
      <c r="D1927" s="136"/>
      <c r="E1927" s="116"/>
      <c r="F1927" s="116"/>
      <c r="G1927" s="118"/>
    </row>
    <row r="1928">
      <c r="A1928" s="136"/>
      <c r="B1928" s="133"/>
      <c r="C1928" s="136"/>
      <c r="D1928" s="136"/>
      <c r="E1928" s="116"/>
      <c r="F1928" s="116"/>
      <c r="G1928" s="118"/>
    </row>
    <row r="1929">
      <c r="A1929" s="136"/>
      <c r="B1929" s="133"/>
      <c r="C1929" s="136"/>
      <c r="D1929" s="136"/>
      <c r="E1929" s="116"/>
      <c r="F1929" s="116"/>
      <c r="G1929" s="118"/>
    </row>
    <row r="1930">
      <c r="A1930" s="136"/>
      <c r="B1930" s="133"/>
      <c r="C1930" s="136"/>
      <c r="D1930" s="136"/>
      <c r="E1930" s="116"/>
      <c r="F1930" s="116"/>
      <c r="G1930" s="118"/>
    </row>
    <row r="1931">
      <c r="A1931" s="136"/>
      <c r="B1931" s="133"/>
      <c r="C1931" s="136"/>
      <c r="D1931" s="136"/>
      <c r="E1931" s="116"/>
      <c r="F1931" s="116"/>
      <c r="G1931" s="118"/>
    </row>
    <row r="1932">
      <c r="A1932" s="136"/>
      <c r="B1932" s="133"/>
      <c r="C1932" s="136"/>
      <c r="D1932" s="136"/>
      <c r="E1932" s="116"/>
      <c r="F1932" s="116"/>
      <c r="G1932" s="118"/>
    </row>
    <row r="1933">
      <c r="A1933" s="136"/>
      <c r="B1933" s="133"/>
      <c r="C1933" s="136"/>
      <c r="D1933" s="136"/>
      <c r="E1933" s="116"/>
      <c r="F1933" s="116"/>
      <c r="G1933" s="118"/>
    </row>
    <row r="1934">
      <c r="A1934" s="136"/>
      <c r="B1934" s="133"/>
      <c r="C1934" s="136"/>
      <c r="D1934" s="136"/>
      <c r="E1934" s="116"/>
      <c r="F1934" s="116"/>
      <c r="G1934" s="118"/>
    </row>
    <row r="1935">
      <c r="A1935" s="136"/>
      <c r="B1935" s="133"/>
      <c r="C1935" s="136"/>
      <c r="D1935" s="136"/>
      <c r="E1935" s="116"/>
      <c r="F1935" s="116"/>
      <c r="G1935" s="118"/>
    </row>
    <row r="1936">
      <c r="A1936" s="136"/>
      <c r="B1936" s="133"/>
      <c r="C1936" s="136"/>
      <c r="D1936" s="136"/>
      <c r="E1936" s="116"/>
      <c r="F1936" s="116"/>
      <c r="G1936" s="118"/>
    </row>
    <row r="1937">
      <c r="A1937" s="136"/>
      <c r="B1937" s="133"/>
      <c r="C1937" s="136"/>
      <c r="D1937" s="136"/>
      <c r="E1937" s="116"/>
      <c r="F1937" s="116"/>
      <c r="G1937" s="118"/>
    </row>
    <row r="1938">
      <c r="A1938" s="136"/>
      <c r="B1938" s="133"/>
      <c r="C1938" s="136"/>
      <c r="D1938" s="136"/>
      <c r="E1938" s="116"/>
      <c r="F1938" s="116"/>
      <c r="G1938" s="118"/>
    </row>
    <row r="1939">
      <c r="A1939" s="136"/>
      <c r="B1939" s="133"/>
      <c r="C1939" s="136"/>
      <c r="D1939" s="136"/>
      <c r="E1939" s="116"/>
      <c r="F1939" s="116"/>
      <c r="G1939" s="118"/>
    </row>
    <row r="1940">
      <c r="A1940" s="136"/>
      <c r="B1940" s="133"/>
      <c r="C1940" s="136"/>
      <c r="D1940" s="136"/>
      <c r="E1940" s="116"/>
      <c r="F1940" s="116"/>
      <c r="G1940" s="118"/>
    </row>
    <row r="1941">
      <c r="A1941" s="136"/>
      <c r="B1941" s="133"/>
      <c r="C1941" s="136"/>
      <c r="D1941" s="136"/>
      <c r="E1941" s="116"/>
      <c r="F1941" s="116"/>
      <c r="G1941" s="118"/>
    </row>
    <row r="1942">
      <c r="A1942" s="136"/>
      <c r="B1942" s="133"/>
      <c r="C1942" s="136"/>
      <c r="D1942" s="136"/>
      <c r="E1942" s="116"/>
      <c r="F1942" s="116"/>
      <c r="G1942" s="118"/>
    </row>
    <row r="1943">
      <c r="A1943" s="136"/>
      <c r="B1943" s="133"/>
      <c r="C1943" s="136"/>
      <c r="D1943" s="136"/>
      <c r="E1943" s="116"/>
      <c r="F1943" s="116"/>
      <c r="G1943" s="118"/>
    </row>
    <row r="1944">
      <c r="A1944" s="136"/>
      <c r="B1944" s="133"/>
      <c r="C1944" s="136"/>
      <c r="D1944" s="136"/>
      <c r="E1944" s="116"/>
      <c r="F1944" s="116"/>
      <c r="G1944" s="118"/>
    </row>
    <row r="1945">
      <c r="A1945" s="136"/>
      <c r="B1945" s="133"/>
      <c r="C1945" s="136"/>
      <c r="D1945" s="136"/>
      <c r="E1945" s="116"/>
      <c r="F1945" s="116"/>
      <c r="G1945" s="118"/>
    </row>
    <row r="1946">
      <c r="A1946" s="136"/>
      <c r="B1946" s="133"/>
      <c r="C1946" s="136"/>
      <c r="D1946" s="136"/>
      <c r="E1946" s="116"/>
      <c r="F1946" s="116"/>
      <c r="G1946" s="118"/>
    </row>
    <row r="1947">
      <c r="A1947" s="136"/>
      <c r="B1947" s="133"/>
      <c r="C1947" s="136"/>
      <c r="D1947" s="136"/>
      <c r="E1947" s="116"/>
      <c r="F1947" s="116"/>
      <c r="G1947" s="118"/>
    </row>
    <row r="1948">
      <c r="A1948" s="136"/>
      <c r="B1948" s="133"/>
      <c r="C1948" s="136"/>
      <c r="D1948" s="136"/>
      <c r="E1948" s="116"/>
      <c r="F1948" s="116"/>
      <c r="G1948" s="118"/>
    </row>
    <row r="1949">
      <c r="A1949" s="136"/>
      <c r="B1949" s="133"/>
      <c r="C1949" s="136"/>
      <c r="D1949" s="136"/>
      <c r="E1949" s="116"/>
      <c r="F1949" s="116"/>
      <c r="G1949" s="118"/>
    </row>
    <row r="1950">
      <c r="A1950" s="136"/>
      <c r="B1950" s="133"/>
      <c r="C1950" s="136"/>
      <c r="D1950" s="136"/>
      <c r="E1950" s="116"/>
      <c r="F1950" s="116"/>
      <c r="G1950" s="118"/>
    </row>
    <row r="1951">
      <c r="A1951" s="136"/>
      <c r="B1951" s="133"/>
      <c r="C1951" s="136"/>
      <c r="D1951" s="136"/>
      <c r="E1951" s="116"/>
      <c r="F1951" s="116"/>
      <c r="G1951" s="118"/>
    </row>
    <row r="1952">
      <c r="A1952" s="136"/>
      <c r="B1952" s="133"/>
      <c r="C1952" s="136"/>
      <c r="D1952" s="136"/>
      <c r="E1952" s="116"/>
      <c r="F1952" s="116"/>
      <c r="G1952" s="118"/>
    </row>
    <row r="1953">
      <c r="A1953" s="136"/>
      <c r="B1953" s="133"/>
      <c r="C1953" s="136"/>
      <c r="D1953" s="136"/>
      <c r="E1953" s="116"/>
      <c r="F1953" s="116"/>
      <c r="G1953" s="118"/>
    </row>
    <row r="1954">
      <c r="A1954" s="136"/>
      <c r="B1954" s="133"/>
      <c r="C1954" s="136"/>
      <c r="D1954" s="136"/>
      <c r="E1954" s="116"/>
      <c r="F1954" s="116"/>
      <c r="G1954" s="118"/>
    </row>
    <row r="1955">
      <c r="A1955" s="136"/>
      <c r="B1955" s="133"/>
      <c r="C1955" s="136"/>
      <c r="D1955" s="136"/>
      <c r="E1955" s="116"/>
      <c r="F1955" s="116"/>
      <c r="G1955" s="118"/>
    </row>
    <row r="1956">
      <c r="A1956" s="136"/>
      <c r="B1956" s="133"/>
      <c r="C1956" s="136"/>
      <c r="D1956" s="136"/>
      <c r="E1956" s="116"/>
      <c r="F1956" s="116"/>
      <c r="G1956" s="118"/>
    </row>
    <row r="1957">
      <c r="A1957" s="136"/>
      <c r="B1957" s="133"/>
      <c r="C1957" s="136"/>
      <c r="D1957" s="136"/>
      <c r="E1957" s="116"/>
      <c r="F1957" s="116"/>
      <c r="G1957" s="118"/>
    </row>
    <row r="1958">
      <c r="A1958" s="136"/>
      <c r="B1958" s="133"/>
      <c r="C1958" s="136"/>
      <c r="D1958" s="136"/>
      <c r="E1958" s="116"/>
      <c r="F1958" s="116"/>
      <c r="G1958" s="118"/>
    </row>
    <row r="1959">
      <c r="A1959" s="136"/>
      <c r="B1959" s="133"/>
      <c r="C1959" s="136"/>
      <c r="D1959" s="136"/>
      <c r="E1959" s="116"/>
      <c r="F1959" s="116"/>
      <c r="G1959" s="118"/>
    </row>
    <row r="1960">
      <c r="A1960" s="136"/>
      <c r="B1960" s="133"/>
      <c r="C1960" s="136"/>
      <c r="D1960" s="136"/>
      <c r="E1960" s="116"/>
      <c r="F1960" s="116"/>
      <c r="G1960" s="118"/>
    </row>
    <row r="1961">
      <c r="A1961" s="136"/>
      <c r="B1961" s="133"/>
      <c r="C1961" s="136"/>
      <c r="D1961" s="136"/>
      <c r="E1961" s="116"/>
      <c r="F1961" s="116"/>
      <c r="G1961" s="118"/>
    </row>
    <row r="1962">
      <c r="A1962" s="136"/>
      <c r="B1962" s="133"/>
      <c r="C1962" s="136"/>
      <c r="D1962" s="136"/>
      <c r="E1962" s="116"/>
      <c r="F1962" s="116"/>
      <c r="G1962" s="118"/>
    </row>
    <row r="1963">
      <c r="A1963" s="136"/>
      <c r="B1963" s="133"/>
      <c r="C1963" s="136"/>
      <c r="D1963" s="136"/>
      <c r="E1963" s="116"/>
      <c r="F1963" s="116"/>
      <c r="G1963" s="118"/>
    </row>
    <row r="1964">
      <c r="A1964" s="136"/>
      <c r="B1964" s="133"/>
      <c r="C1964" s="136"/>
      <c r="D1964" s="136"/>
      <c r="E1964" s="116"/>
      <c r="F1964" s="116"/>
      <c r="G1964" s="118"/>
    </row>
    <row r="1965">
      <c r="A1965" s="136"/>
      <c r="B1965" s="133"/>
      <c r="C1965" s="136"/>
      <c r="D1965" s="136"/>
      <c r="E1965" s="116"/>
      <c r="F1965" s="116"/>
      <c r="G1965" s="118"/>
    </row>
    <row r="1966">
      <c r="A1966" s="136"/>
      <c r="B1966" s="133"/>
      <c r="C1966" s="136"/>
      <c r="D1966" s="136"/>
      <c r="E1966" s="116"/>
      <c r="F1966" s="116"/>
      <c r="G1966" s="118"/>
    </row>
    <row r="1967">
      <c r="A1967" s="136"/>
      <c r="B1967" s="133"/>
      <c r="C1967" s="136"/>
      <c r="D1967" s="136"/>
      <c r="E1967" s="116"/>
      <c r="F1967" s="116"/>
      <c r="G1967" s="118"/>
    </row>
    <row r="1968">
      <c r="A1968" s="136"/>
      <c r="B1968" s="133"/>
      <c r="C1968" s="136"/>
      <c r="D1968" s="136"/>
      <c r="E1968" s="116"/>
      <c r="F1968" s="116"/>
      <c r="G1968" s="118"/>
    </row>
    <row r="1969">
      <c r="A1969" s="136"/>
      <c r="B1969" s="133"/>
      <c r="C1969" s="136"/>
      <c r="D1969" s="136"/>
      <c r="E1969" s="116"/>
      <c r="F1969" s="116"/>
      <c r="G1969" s="118"/>
    </row>
    <row r="1970">
      <c r="A1970" s="136"/>
      <c r="B1970" s="133"/>
      <c r="C1970" s="136"/>
      <c r="D1970" s="136"/>
      <c r="E1970" s="116"/>
      <c r="F1970" s="116"/>
      <c r="G1970" s="118"/>
    </row>
    <row r="1971">
      <c r="A1971" s="136"/>
      <c r="B1971" s="133"/>
      <c r="C1971" s="136"/>
      <c r="D1971" s="136"/>
      <c r="E1971" s="116"/>
      <c r="F1971" s="116"/>
      <c r="G1971" s="118"/>
    </row>
    <row r="1972">
      <c r="A1972" s="136"/>
      <c r="B1972" s="133"/>
      <c r="C1972" s="136"/>
      <c r="D1972" s="136"/>
      <c r="E1972" s="116"/>
      <c r="F1972" s="116"/>
      <c r="G1972" s="118"/>
    </row>
    <row r="1973">
      <c r="A1973" s="136"/>
      <c r="B1973" s="133"/>
      <c r="C1973" s="136"/>
      <c r="D1973" s="136"/>
      <c r="E1973" s="116"/>
      <c r="F1973" s="116"/>
      <c r="G1973" s="118"/>
    </row>
    <row r="1974">
      <c r="A1974" s="136"/>
      <c r="B1974" s="133"/>
      <c r="C1974" s="136"/>
      <c r="D1974" s="136"/>
      <c r="E1974" s="116"/>
      <c r="F1974" s="116"/>
      <c r="G1974" s="118"/>
    </row>
    <row r="1975">
      <c r="A1975" s="136"/>
      <c r="B1975" s="133"/>
      <c r="C1975" s="136"/>
      <c r="D1975" s="136"/>
      <c r="E1975" s="116"/>
      <c r="F1975" s="116"/>
      <c r="G1975" s="118"/>
    </row>
    <row r="1976">
      <c r="A1976" s="136"/>
      <c r="B1976" s="133"/>
      <c r="C1976" s="136"/>
      <c r="D1976" s="136"/>
      <c r="E1976" s="116"/>
      <c r="F1976" s="116"/>
      <c r="G1976" s="118"/>
    </row>
    <row r="1977">
      <c r="A1977" s="136"/>
      <c r="B1977" s="133"/>
      <c r="C1977" s="136"/>
      <c r="D1977" s="136"/>
      <c r="E1977" s="116"/>
      <c r="F1977" s="116"/>
      <c r="G1977" s="118"/>
    </row>
    <row r="1978">
      <c r="A1978" s="136"/>
      <c r="B1978" s="133"/>
      <c r="C1978" s="136"/>
      <c r="D1978" s="136"/>
      <c r="E1978" s="116"/>
      <c r="F1978" s="116"/>
      <c r="G1978" s="118"/>
    </row>
    <row r="1979">
      <c r="A1979" s="136"/>
      <c r="B1979" s="133"/>
      <c r="C1979" s="136"/>
      <c r="D1979" s="136"/>
      <c r="E1979" s="116"/>
      <c r="F1979" s="116"/>
      <c r="G1979" s="118"/>
    </row>
    <row r="1980">
      <c r="A1980" s="136"/>
      <c r="B1980" s="133"/>
      <c r="C1980" s="136"/>
      <c r="D1980" s="136"/>
      <c r="E1980" s="116"/>
      <c r="F1980" s="116"/>
      <c r="G1980" s="118"/>
    </row>
    <row r="1981">
      <c r="A1981" s="136"/>
      <c r="B1981" s="133"/>
      <c r="C1981" s="136"/>
      <c r="D1981" s="136"/>
      <c r="E1981" s="116"/>
      <c r="F1981" s="116"/>
      <c r="G1981" s="118"/>
    </row>
    <row r="1982">
      <c r="A1982" s="136"/>
      <c r="B1982" s="133"/>
      <c r="C1982" s="136"/>
      <c r="D1982" s="136"/>
      <c r="E1982" s="116"/>
      <c r="F1982" s="116"/>
      <c r="G1982" s="118"/>
    </row>
    <row r="1983">
      <c r="A1983" s="136"/>
      <c r="B1983" s="133"/>
      <c r="C1983" s="136"/>
      <c r="D1983" s="136"/>
      <c r="E1983" s="116"/>
      <c r="F1983" s="116"/>
      <c r="G1983" s="118"/>
    </row>
    <row r="1984">
      <c r="A1984" s="136"/>
      <c r="B1984" s="133"/>
      <c r="C1984" s="136"/>
      <c r="D1984" s="136"/>
      <c r="E1984" s="116"/>
      <c r="F1984" s="116"/>
      <c r="G1984" s="118"/>
    </row>
    <row r="1985">
      <c r="A1985" s="136"/>
      <c r="B1985" s="133"/>
      <c r="C1985" s="136"/>
      <c r="D1985" s="136"/>
      <c r="E1985" s="116"/>
      <c r="F1985" s="116"/>
      <c r="G1985" s="118"/>
    </row>
    <row r="1986">
      <c r="A1986" s="136"/>
      <c r="B1986" s="133"/>
      <c r="C1986" s="136"/>
      <c r="D1986" s="136"/>
      <c r="E1986" s="116"/>
      <c r="F1986" s="116"/>
      <c r="G1986" s="118"/>
    </row>
    <row r="1987">
      <c r="A1987" s="136"/>
      <c r="B1987" s="133"/>
      <c r="C1987" s="136"/>
      <c r="D1987" s="136"/>
      <c r="E1987" s="116"/>
      <c r="F1987" s="116"/>
      <c r="G1987" s="118"/>
    </row>
    <row r="1988">
      <c r="A1988" s="136"/>
      <c r="B1988" s="133"/>
      <c r="C1988" s="136"/>
      <c r="D1988" s="136"/>
      <c r="E1988" s="116"/>
      <c r="F1988" s="116"/>
      <c r="G1988" s="118"/>
    </row>
    <row r="1989">
      <c r="A1989" s="136"/>
      <c r="B1989" s="133"/>
      <c r="C1989" s="136"/>
      <c r="D1989" s="136"/>
      <c r="E1989" s="116"/>
      <c r="F1989" s="116"/>
      <c r="G1989" s="118"/>
    </row>
    <row r="1990">
      <c r="A1990" s="136"/>
      <c r="B1990" s="133"/>
      <c r="C1990" s="136"/>
      <c r="D1990" s="136"/>
      <c r="E1990" s="116"/>
      <c r="F1990" s="116"/>
      <c r="G1990" s="118"/>
    </row>
    <row r="1991">
      <c r="A1991" s="136"/>
      <c r="B1991" s="133"/>
      <c r="C1991" s="136"/>
      <c r="D1991" s="136"/>
      <c r="E1991" s="116"/>
      <c r="F1991" s="116"/>
      <c r="G1991" s="118"/>
    </row>
    <row r="1992">
      <c r="A1992" s="136"/>
      <c r="B1992" s="133"/>
      <c r="C1992" s="136"/>
      <c r="D1992" s="136"/>
      <c r="E1992" s="116"/>
      <c r="F1992" s="116"/>
      <c r="G1992" s="118"/>
    </row>
    <row r="1993">
      <c r="A1993" s="136"/>
      <c r="B1993" s="133"/>
      <c r="C1993" s="136"/>
      <c r="D1993" s="136"/>
      <c r="E1993" s="116"/>
      <c r="F1993" s="116"/>
      <c r="G1993" s="118"/>
    </row>
    <row r="1994">
      <c r="A1994" s="136"/>
      <c r="B1994" s="133"/>
      <c r="C1994" s="136"/>
      <c r="D1994" s="136"/>
      <c r="E1994" s="116"/>
      <c r="F1994" s="116"/>
      <c r="G1994" s="118"/>
    </row>
    <row r="1995">
      <c r="A1995" s="136"/>
      <c r="B1995" s="133"/>
      <c r="C1995" s="136"/>
      <c r="D1995" s="136"/>
      <c r="E1995" s="116"/>
      <c r="F1995" s="116"/>
      <c r="G1995" s="118"/>
    </row>
    <row r="1996">
      <c r="A1996" s="136"/>
      <c r="B1996" s="133"/>
      <c r="C1996" s="136"/>
      <c r="D1996" s="136"/>
      <c r="E1996" s="116"/>
      <c r="F1996" s="116"/>
      <c r="G1996" s="118"/>
    </row>
    <row r="1997">
      <c r="A1997" s="136"/>
      <c r="B1997" s="133"/>
      <c r="C1997" s="136"/>
      <c r="D1997" s="136"/>
      <c r="E1997" s="116"/>
      <c r="F1997" s="116"/>
      <c r="G1997" s="118"/>
    </row>
    <row r="1998">
      <c r="A1998" s="136"/>
      <c r="B1998" s="133"/>
      <c r="C1998" s="136"/>
      <c r="D1998" s="136"/>
      <c r="E1998" s="116"/>
      <c r="F1998" s="116"/>
      <c r="G1998" s="118"/>
    </row>
    <row r="1999">
      <c r="A1999" s="136"/>
      <c r="B1999" s="133"/>
      <c r="C1999" s="136"/>
      <c r="D1999" s="136"/>
      <c r="E1999" s="116"/>
      <c r="F1999" s="116"/>
      <c r="G1999" s="118"/>
    </row>
    <row r="2000">
      <c r="A2000" s="136"/>
      <c r="B2000" s="133"/>
      <c r="C2000" s="136"/>
      <c r="D2000" s="136"/>
      <c r="E2000" s="116"/>
      <c r="F2000" s="116"/>
      <c r="G2000" s="118"/>
    </row>
    <row r="2001">
      <c r="A2001" s="136"/>
      <c r="B2001" s="133"/>
      <c r="C2001" s="136"/>
      <c r="D2001" s="136"/>
      <c r="E2001" s="116"/>
      <c r="F2001" s="116"/>
      <c r="G2001" s="118"/>
    </row>
    <row r="2002">
      <c r="A2002" s="136"/>
      <c r="B2002" s="133"/>
      <c r="C2002" s="136"/>
      <c r="D2002" s="136"/>
      <c r="E2002" s="116"/>
      <c r="F2002" s="116"/>
      <c r="G2002" s="118"/>
    </row>
    <row r="2003">
      <c r="A2003" s="136"/>
      <c r="B2003" s="133"/>
      <c r="C2003" s="136"/>
      <c r="D2003" s="136"/>
      <c r="E2003" s="116"/>
      <c r="F2003" s="116"/>
      <c r="G2003" s="118"/>
    </row>
    <row r="2004">
      <c r="A2004" s="136"/>
      <c r="B2004" s="133"/>
      <c r="C2004" s="136"/>
      <c r="D2004" s="136"/>
      <c r="E2004" s="116"/>
      <c r="F2004" s="116"/>
      <c r="G2004" s="118"/>
    </row>
    <row r="2005">
      <c r="A2005" s="136"/>
      <c r="B2005" s="133"/>
      <c r="C2005" s="136"/>
      <c r="D2005" s="136"/>
      <c r="E2005" s="116"/>
      <c r="F2005" s="116"/>
      <c r="G2005" s="118"/>
    </row>
    <row r="2006">
      <c r="A2006" s="136"/>
      <c r="B2006" s="133"/>
      <c r="C2006" s="136"/>
      <c r="D2006" s="136"/>
      <c r="E2006" s="116"/>
      <c r="F2006" s="116"/>
      <c r="G2006" s="118"/>
    </row>
    <row r="2007">
      <c r="A2007" s="136"/>
      <c r="B2007" s="133"/>
      <c r="C2007" s="136"/>
      <c r="D2007" s="136"/>
      <c r="E2007" s="116"/>
      <c r="F2007" s="116"/>
      <c r="G2007" s="118"/>
    </row>
    <row r="2008">
      <c r="A2008" s="136"/>
      <c r="B2008" s="133"/>
      <c r="C2008" s="136"/>
      <c r="D2008" s="136"/>
      <c r="E2008" s="116"/>
      <c r="F2008" s="116"/>
      <c r="G2008" s="118"/>
    </row>
    <row r="2009">
      <c r="A2009" s="136"/>
      <c r="B2009" s="133"/>
      <c r="C2009" s="136"/>
      <c r="D2009" s="136"/>
      <c r="E2009" s="116"/>
      <c r="F2009" s="116"/>
      <c r="G2009" s="118"/>
    </row>
    <row r="2010">
      <c r="A2010" s="136"/>
      <c r="B2010" s="133"/>
      <c r="C2010" s="136"/>
      <c r="D2010" s="136"/>
      <c r="E2010" s="116"/>
      <c r="F2010" s="116"/>
      <c r="G2010" s="118"/>
    </row>
    <row r="2011">
      <c r="A2011" s="136"/>
      <c r="B2011" s="133"/>
      <c r="C2011" s="136"/>
      <c r="D2011" s="136"/>
      <c r="E2011" s="116"/>
      <c r="F2011" s="116"/>
      <c r="G2011" s="118"/>
    </row>
    <row r="2012">
      <c r="A2012" s="136"/>
      <c r="B2012" s="133"/>
      <c r="C2012" s="136"/>
      <c r="D2012" s="136"/>
      <c r="E2012" s="116"/>
      <c r="F2012" s="116"/>
      <c r="G2012" s="118"/>
    </row>
    <row r="2013">
      <c r="A2013" s="136"/>
      <c r="B2013" s="133"/>
      <c r="C2013" s="136"/>
      <c r="D2013" s="136"/>
      <c r="E2013" s="116"/>
      <c r="F2013" s="116"/>
      <c r="G2013" s="118"/>
    </row>
    <row r="2014">
      <c r="A2014" s="136"/>
      <c r="B2014" s="133"/>
      <c r="C2014" s="136"/>
      <c r="D2014" s="136"/>
      <c r="E2014" s="116"/>
      <c r="F2014" s="116"/>
      <c r="G2014" s="118"/>
    </row>
    <row r="2015">
      <c r="A2015" s="136"/>
      <c r="B2015" s="133"/>
      <c r="C2015" s="136"/>
      <c r="D2015" s="136"/>
      <c r="E2015" s="116"/>
      <c r="F2015" s="116"/>
      <c r="G2015" s="118"/>
    </row>
    <row r="2016">
      <c r="A2016" s="136"/>
      <c r="B2016" s="133"/>
      <c r="C2016" s="136"/>
      <c r="D2016" s="136"/>
      <c r="E2016" s="116"/>
      <c r="F2016" s="116"/>
      <c r="G2016" s="118"/>
    </row>
    <row r="2017">
      <c r="A2017" s="136"/>
      <c r="B2017" s="133"/>
      <c r="C2017" s="136"/>
      <c r="D2017" s="136"/>
      <c r="E2017" s="116"/>
      <c r="F2017" s="116"/>
      <c r="G2017" s="118"/>
    </row>
    <row r="2018">
      <c r="A2018" s="136"/>
      <c r="B2018" s="133"/>
      <c r="C2018" s="136"/>
      <c r="D2018" s="136"/>
      <c r="E2018" s="116"/>
      <c r="F2018" s="116"/>
      <c r="G2018" s="118"/>
    </row>
    <row r="2019">
      <c r="A2019" s="136"/>
      <c r="B2019" s="133"/>
      <c r="C2019" s="136"/>
      <c r="D2019" s="136"/>
      <c r="E2019" s="116"/>
      <c r="F2019" s="116"/>
      <c r="G2019" s="118"/>
    </row>
    <row r="2020">
      <c r="A2020" s="136"/>
      <c r="B2020" s="133"/>
      <c r="C2020" s="136"/>
      <c r="D2020" s="136"/>
      <c r="E2020" s="116"/>
      <c r="F2020" s="116"/>
      <c r="G2020" s="118"/>
    </row>
    <row r="2021">
      <c r="A2021" s="136"/>
      <c r="B2021" s="133"/>
      <c r="C2021" s="136"/>
      <c r="D2021" s="136"/>
      <c r="E2021" s="116"/>
      <c r="F2021" s="116"/>
      <c r="G2021" s="118"/>
    </row>
    <row r="2022">
      <c r="A2022" s="136"/>
      <c r="B2022" s="133"/>
      <c r="C2022" s="136"/>
      <c r="D2022" s="136"/>
      <c r="E2022" s="116"/>
      <c r="F2022" s="116"/>
      <c r="G2022" s="118"/>
    </row>
    <row r="2023">
      <c r="A2023" s="136"/>
      <c r="B2023" s="133"/>
      <c r="C2023" s="136"/>
      <c r="D2023" s="136"/>
      <c r="E2023" s="116"/>
      <c r="F2023" s="116"/>
      <c r="G2023" s="118"/>
    </row>
    <row r="2024">
      <c r="A2024" s="136"/>
      <c r="B2024" s="133"/>
      <c r="C2024" s="136"/>
      <c r="D2024" s="136"/>
      <c r="E2024" s="116"/>
      <c r="F2024" s="116"/>
      <c r="G2024" s="118"/>
    </row>
    <row r="2025">
      <c r="A2025" s="136"/>
      <c r="B2025" s="133"/>
      <c r="C2025" s="136"/>
      <c r="D2025" s="136"/>
      <c r="E2025" s="116"/>
      <c r="F2025" s="116"/>
      <c r="G2025" s="118"/>
    </row>
    <row r="2026">
      <c r="A2026" s="136"/>
      <c r="B2026" s="133"/>
      <c r="C2026" s="136"/>
      <c r="D2026" s="136"/>
      <c r="E2026" s="116"/>
      <c r="F2026" s="116"/>
      <c r="G2026" s="118"/>
    </row>
    <row r="2027">
      <c r="A2027" s="136"/>
      <c r="B2027" s="133"/>
      <c r="C2027" s="136"/>
      <c r="D2027" s="136"/>
      <c r="E2027" s="116"/>
      <c r="F2027" s="116"/>
      <c r="G2027" s="118"/>
    </row>
    <row r="2028">
      <c r="A2028" s="136"/>
      <c r="B2028" s="133"/>
      <c r="C2028" s="136"/>
      <c r="D2028" s="136"/>
      <c r="E2028" s="116"/>
      <c r="F2028" s="116"/>
      <c r="G2028" s="118"/>
    </row>
    <row r="2029">
      <c r="A2029" s="136"/>
      <c r="B2029" s="133"/>
      <c r="C2029" s="136"/>
      <c r="D2029" s="136"/>
      <c r="E2029" s="116"/>
      <c r="F2029" s="116"/>
      <c r="G2029" s="118"/>
    </row>
    <row r="2030">
      <c r="A2030" s="136"/>
      <c r="B2030" s="133"/>
      <c r="C2030" s="136"/>
      <c r="D2030" s="136"/>
      <c r="E2030" s="116"/>
      <c r="F2030" s="116"/>
      <c r="G2030" s="118"/>
    </row>
    <row r="2031">
      <c r="A2031" s="136"/>
      <c r="B2031" s="133"/>
      <c r="C2031" s="136"/>
      <c r="D2031" s="136"/>
      <c r="E2031" s="116"/>
      <c r="F2031" s="116"/>
      <c r="G2031" s="118"/>
    </row>
    <row r="2032">
      <c r="A2032" s="136"/>
      <c r="B2032" s="133"/>
      <c r="C2032" s="136"/>
      <c r="D2032" s="136"/>
      <c r="E2032" s="116"/>
      <c r="F2032" s="116"/>
      <c r="G2032" s="118"/>
    </row>
    <row r="2033">
      <c r="A2033" s="136"/>
      <c r="B2033" s="133"/>
      <c r="C2033" s="136"/>
      <c r="D2033" s="136"/>
      <c r="E2033" s="116"/>
      <c r="F2033" s="116"/>
      <c r="G2033" s="118"/>
    </row>
    <row r="2034">
      <c r="A2034" s="136"/>
      <c r="B2034" s="133"/>
      <c r="C2034" s="136"/>
      <c r="D2034" s="136"/>
      <c r="E2034" s="116"/>
      <c r="F2034" s="116"/>
      <c r="G2034" s="118"/>
    </row>
    <row r="2035">
      <c r="A2035" s="136"/>
      <c r="B2035" s="133"/>
      <c r="C2035" s="136"/>
      <c r="D2035" s="136"/>
      <c r="E2035" s="116"/>
      <c r="F2035" s="116"/>
      <c r="G2035" s="118"/>
    </row>
    <row r="2036">
      <c r="A2036" s="136"/>
      <c r="B2036" s="133"/>
      <c r="C2036" s="136"/>
      <c r="D2036" s="136"/>
      <c r="E2036" s="116"/>
      <c r="F2036" s="116"/>
      <c r="G2036" s="118"/>
    </row>
    <row r="2037">
      <c r="A2037" s="136"/>
      <c r="B2037" s="133"/>
      <c r="C2037" s="136"/>
      <c r="D2037" s="136"/>
      <c r="E2037" s="116"/>
      <c r="F2037" s="116"/>
      <c r="G2037" s="118"/>
    </row>
    <row r="2038">
      <c r="A2038" s="136"/>
      <c r="B2038" s="133"/>
      <c r="C2038" s="136"/>
      <c r="D2038" s="136"/>
      <c r="E2038" s="116"/>
      <c r="F2038" s="116"/>
      <c r="G2038" s="118"/>
    </row>
    <row r="2039">
      <c r="A2039" s="136"/>
      <c r="B2039" s="133"/>
      <c r="C2039" s="136"/>
      <c r="D2039" s="136"/>
      <c r="E2039" s="116"/>
      <c r="F2039" s="116"/>
      <c r="G2039" s="118"/>
    </row>
    <row r="2040">
      <c r="A2040" s="136"/>
      <c r="B2040" s="133"/>
      <c r="C2040" s="136"/>
      <c r="D2040" s="136"/>
      <c r="E2040" s="116"/>
      <c r="F2040" s="116"/>
      <c r="G2040" s="118"/>
    </row>
    <row r="2041">
      <c r="A2041" s="136"/>
      <c r="B2041" s="133"/>
      <c r="C2041" s="136"/>
      <c r="D2041" s="136"/>
      <c r="E2041" s="116"/>
      <c r="F2041" s="116"/>
      <c r="G2041" s="118"/>
    </row>
    <row r="2042">
      <c r="A2042" s="136"/>
      <c r="B2042" s="133"/>
      <c r="C2042" s="136"/>
      <c r="D2042" s="136"/>
      <c r="E2042" s="116"/>
      <c r="F2042" s="116"/>
      <c r="G2042" s="118"/>
    </row>
    <row r="2043">
      <c r="A2043" s="136"/>
      <c r="B2043" s="133"/>
      <c r="C2043" s="136"/>
      <c r="D2043" s="136"/>
      <c r="E2043" s="116"/>
      <c r="F2043" s="116"/>
      <c r="G2043" s="118"/>
    </row>
    <row r="2044">
      <c r="A2044" s="136"/>
      <c r="B2044" s="133"/>
      <c r="C2044" s="136"/>
      <c r="D2044" s="136"/>
      <c r="E2044" s="116"/>
      <c r="F2044" s="116"/>
      <c r="G2044" s="118"/>
    </row>
    <row r="2045">
      <c r="A2045" s="136"/>
      <c r="B2045" s="133"/>
      <c r="C2045" s="136"/>
      <c r="D2045" s="136"/>
      <c r="E2045" s="116"/>
      <c r="F2045" s="116"/>
      <c r="G2045" s="118"/>
    </row>
    <row r="2046">
      <c r="A2046" s="136"/>
      <c r="B2046" s="133"/>
      <c r="C2046" s="136"/>
      <c r="D2046" s="136"/>
      <c r="E2046" s="116"/>
      <c r="F2046" s="116"/>
      <c r="G2046" s="118"/>
    </row>
    <row r="2047">
      <c r="A2047" s="136"/>
      <c r="B2047" s="133"/>
      <c r="C2047" s="136"/>
      <c r="D2047" s="136"/>
      <c r="E2047" s="116"/>
      <c r="F2047" s="116"/>
      <c r="G2047" s="118"/>
    </row>
    <row r="2048">
      <c r="A2048" s="136"/>
      <c r="B2048" s="133"/>
      <c r="C2048" s="136"/>
      <c r="D2048" s="136"/>
      <c r="E2048" s="116"/>
      <c r="F2048" s="116"/>
      <c r="G2048" s="118"/>
    </row>
    <row r="2049">
      <c r="A2049" s="136"/>
      <c r="B2049" s="133"/>
      <c r="C2049" s="136"/>
      <c r="D2049" s="136"/>
      <c r="E2049" s="116"/>
      <c r="F2049" s="116"/>
      <c r="G2049" s="118"/>
    </row>
    <row r="2050">
      <c r="A2050" s="136"/>
      <c r="B2050" s="133"/>
      <c r="C2050" s="136"/>
      <c r="D2050" s="136"/>
      <c r="E2050" s="116"/>
      <c r="F2050" s="116"/>
      <c r="G2050" s="118"/>
    </row>
    <row r="2051">
      <c r="A2051" s="136"/>
      <c r="B2051" s="133"/>
      <c r="C2051" s="136"/>
      <c r="D2051" s="136"/>
      <c r="E2051" s="116"/>
      <c r="F2051" s="116"/>
      <c r="G2051" s="118"/>
    </row>
    <row r="2052">
      <c r="A2052" s="136"/>
      <c r="B2052" s="133"/>
      <c r="C2052" s="136"/>
      <c r="D2052" s="136"/>
      <c r="E2052" s="116"/>
      <c r="F2052" s="116"/>
      <c r="G2052" s="118"/>
    </row>
    <row r="2053">
      <c r="A2053" s="136"/>
      <c r="B2053" s="133"/>
      <c r="C2053" s="136"/>
      <c r="D2053" s="136"/>
      <c r="E2053" s="116"/>
      <c r="F2053" s="116"/>
      <c r="G2053" s="118"/>
    </row>
    <row r="2054">
      <c r="A2054" s="136"/>
      <c r="B2054" s="133"/>
      <c r="C2054" s="136"/>
      <c r="D2054" s="136"/>
      <c r="E2054" s="116"/>
      <c r="F2054" s="116"/>
      <c r="G2054" s="118"/>
    </row>
    <row r="2055">
      <c r="A2055" s="136"/>
      <c r="B2055" s="133"/>
      <c r="C2055" s="136"/>
      <c r="D2055" s="136"/>
      <c r="E2055" s="116"/>
      <c r="F2055" s="116"/>
      <c r="G2055" s="118"/>
    </row>
    <row r="2056">
      <c r="A2056" s="136"/>
      <c r="B2056" s="133"/>
      <c r="C2056" s="136"/>
      <c r="D2056" s="136"/>
      <c r="E2056" s="116"/>
      <c r="F2056" s="116"/>
      <c r="G2056" s="118"/>
    </row>
    <row r="2057">
      <c r="A2057" s="136"/>
      <c r="B2057" s="133"/>
      <c r="C2057" s="136"/>
      <c r="D2057" s="136"/>
      <c r="E2057" s="116"/>
      <c r="F2057" s="116"/>
      <c r="G2057" s="118"/>
    </row>
    <row r="2058">
      <c r="A2058" s="136"/>
      <c r="B2058" s="133"/>
      <c r="C2058" s="136"/>
      <c r="D2058" s="136"/>
      <c r="E2058" s="116"/>
      <c r="F2058" s="116"/>
      <c r="G2058" s="118"/>
    </row>
    <row r="2059">
      <c r="A2059" s="136"/>
      <c r="B2059" s="133"/>
      <c r="C2059" s="136"/>
      <c r="D2059" s="136"/>
      <c r="E2059" s="116"/>
      <c r="F2059" s="116"/>
      <c r="G2059" s="118"/>
    </row>
    <row r="2060">
      <c r="A2060" s="136"/>
      <c r="B2060" s="133"/>
      <c r="C2060" s="136"/>
      <c r="D2060" s="136"/>
      <c r="E2060" s="116"/>
      <c r="F2060" s="116"/>
      <c r="G2060" s="118"/>
    </row>
    <row r="2061">
      <c r="A2061" s="136"/>
      <c r="B2061" s="133"/>
      <c r="C2061" s="136"/>
      <c r="D2061" s="136"/>
      <c r="E2061" s="116"/>
      <c r="F2061" s="116"/>
      <c r="G2061" s="118"/>
    </row>
    <row r="2062">
      <c r="A2062" s="136"/>
      <c r="B2062" s="133"/>
      <c r="C2062" s="136"/>
      <c r="D2062" s="136"/>
      <c r="E2062" s="116"/>
      <c r="F2062" s="116"/>
      <c r="G2062" s="118"/>
    </row>
    <row r="2063">
      <c r="A2063" s="136"/>
      <c r="B2063" s="133"/>
      <c r="C2063" s="136"/>
      <c r="D2063" s="136"/>
      <c r="E2063" s="116"/>
      <c r="F2063" s="116"/>
      <c r="G2063" s="118"/>
    </row>
    <row r="2064">
      <c r="A2064" s="136"/>
      <c r="B2064" s="133"/>
      <c r="C2064" s="136"/>
      <c r="D2064" s="136"/>
      <c r="E2064" s="116"/>
      <c r="F2064" s="116"/>
      <c r="G2064" s="118"/>
    </row>
    <row r="2065">
      <c r="A2065" s="136"/>
      <c r="B2065" s="133"/>
      <c r="C2065" s="136"/>
      <c r="D2065" s="136"/>
      <c r="E2065" s="116"/>
      <c r="F2065" s="116"/>
      <c r="G2065" s="118"/>
    </row>
    <row r="2066">
      <c r="A2066" s="136"/>
      <c r="B2066" s="133"/>
      <c r="C2066" s="136"/>
      <c r="D2066" s="136"/>
      <c r="E2066" s="116"/>
      <c r="F2066" s="116"/>
      <c r="G2066" s="118"/>
    </row>
    <row r="2067">
      <c r="A2067" s="136"/>
      <c r="B2067" s="133"/>
      <c r="C2067" s="136"/>
      <c r="D2067" s="136"/>
      <c r="E2067" s="116"/>
      <c r="F2067" s="116"/>
      <c r="G2067" s="118"/>
    </row>
    <row r="2068">
      <c r="A2068" s="136"/>
      <c r="B2068" s="133"/>
      <c r="C2068" s="136"/>
      <c r="D2068" s="136"/>
      <c r="E2068" s="116"/>
      <c r="F2068" s="116"/>
      <c r="G2068" s="118"/>
    </row>
    <row r="2069">
      <c r="A2069" s="136"/>
      <c r="B2069" s="133"/>
      <c r="C2069" s="136"/>
      <c r="D2069" s="136"/>
      <c r="E2069" s="116"/>
      <c r="F2069" s="116"/>
      <c r="G2069" s="118"/>
    </row>
    <row r="2070">
      <c r="A2070" s="136"/>
      <c r="B2070" s="133"/>
      <c r="C2070" s="136"/>
      <c r="D2070" s="136"/>
      <c r="E2070" s="116"/>
      <c r="F2070" s="116"/>
      <c r="G2070" s="118"/>
    </row>
    <row r="2071">
      <c r="A2071" s="136"/>
      <c r="B2071" s="133"/>
      <c r="C2071" s="136"/>
      <c r="D2071" s="136"/>
      <c r="E2071" s="116"/>
      <c r="F2071" s="116"/>
      <c r="G2071" s="118"/>
    </row>
    <row r="2072">
      <c r="A2072" s="136"/>
      <c r="B2072" s="133"/>
      <c r="C2072" s="136"/>
      <c r="D2072" s="136"/>
      <c r="E2072" s="116"/>
      <c r="F2072" s="116"/>
      <c r="G2072" s="118"/>
    </row>
    <row r="2073">
      <c r="A2073" s="136"/>
      <c r="B2073" s="133"/>
      <c r="C2073" s="136"/>
      <c r="D2073" s="136"/>
      <c r="E2073" s="116"/>
      <c r="F2073" s="116"/>
      <c r="G2073" s="118"/>
    </row>
    <row r="2074">
      <c r="A2074" s="136"/>
      <c r="B2074" s="133"/>
      <c r="C2074" s="136"/>
      <c r="D2074" s="136"/>
      <c r="E2074" s="116"/>
      <c r="F2074" s="116"/>
      <c r="G2074" s="118"/>
    </row>
    <row r="2075">
      <c r="A2075" s="136"/>
      <c r="B2075" s="133"/>
      <c r="C2075" s="136"/>
      <c r="D2075" s="136"/>
      <c r="E2075" s="116"/>
      <c r="F2075" s="116"/>
      <c r="G2075" s="118"/>
    </row>
    <row r="2076">
      <c r="A2076" s="136"/>
      <c r="B2076" s="133"/>
      <c r="C2076" s="136"/>
      <c r="D2076" s="136"/>
      <c r="E2076" s="116"/>
      <c r="F2076" s="116"/>
      <c r="G2076" s="118"/>
    </row>
    <row r="2077">
      <c r="A2077" s="136"/>
      <c r="B2077" s="133"/>
      <c r="C2077" s="136"/>
      <c r="D2077" s="136"/>
      <c r="E2077" s="116"/>
      <c r="F2077" s="116"/>
      <c r="G2077" s="118"/>
    </row>
    <row r="2078">
      <c r="A2078" s="136"/>
      <c r="B2078" s="133"/>
      <c r="C2078" s="136"/>
      <c r="D2078" s="136"/>
      <c r="E2078" s="116"/>
      <c r="F2078" s="116"/>
      <c r="G2078" s="118"/>
    </row>
    <row r="2079">
      <c r="A2079" s="136"/>
      <c r="B2079" s="133"/>
      <c r="C2079" s="136"/>
      <c r="D2079" s="136"/>
      <c r="E2079" s="116"/>
      <c r="F2079" s="116"/>
      <c r="G2079" s="118"/>
    </row>
    <row r="2080">
      <c r="A2080" s="136"/>
      <c r="B2080" s="133"/>
      <c r="C2080" s="136"/>
      <c r="D2080" s="136"/>
      <c r="E2080" s="116"/>
      <c r="F2080" s="116"/>
      <c r="G2080" s="118"/>
    </row>
    <row r="2081">
      <c r="A2081" s="136"/>
      <c r="B2081" s="133"/>
      <c r="C2081" s="136"/>
      <c r="D2081" s="136"/>
      <c r="E2081" s="116"/>
      <c r="F2081" s="116"/>
      <c r="G2081" s="118"/>
    </row>
    <row r="2082">
      <c r="A2082" s="136"/>
      <c r="B2082" s="133"/>
      <c r="C2082" s="136"/>
      <c r="D2082" s="136"/>
      <c r="E2082" s="116"/>
      <c r="F2082" s="116"/>
      <c r="G2082" s="118"/>
    </row>
    <row r="2083">
      <c r="A2083" s="136"/>
      <c r="B2083" s="133"/>
      <c r="C2083" s="136"/>
      <c r="D2083" s="136"/>
      <c r="E2083" s="116"/>
      <c r="F2083" s="116"/>
      <c r="G2083" s="118"/>
    </row>
    <row r="2084">
      <c r="A2084" s="136"/>
      <c r="B2084" s="133"/>
      <c r="C2084" s="136"/>
      <c r="D2084" s="136"/>
      <c r="E2084" s="116"/>
      <c r="F2084" s="116"/>
      <c r="G2084" s="118"/>
    </row>
    <row r="2085">
      <c r="A2085" s="136"/>
      <c r="B2085" s="133"/>
      <c r="C2085" s="136"/>
      <c r="D2085" s="136"/>
      <c r="E2085" s="116"/>
      <c r="F2085" s="116"/>
      <c r="G2085" s="118"/>
    </row>
    <row r="2086">
      <c r="A2086" s="136"/>
      <c r="B2086" s="133"/>
      <c r="C2086" s="136"/>
      <c r="D2086" s="136"/>
      <c r="E2086" s="116"/>
      <c r="F2086" s="116"/>
      <c r="G2086" s="118"/>
    </row>
    <row r="2087">
      <c r="A2087" s="136"/>
      <c r="B2087" s="133"/>
      <c r="C2087" s="136"/>
      <c r="D2087" s="136"/>
      <c r="E2087" s="116"/>
      <c r="F2087" s="116"/>
      <c r="G2087" s="118"/>
    </row>
    <row r="2088">
      <c r="A2088" s="136"/>
      <c r="B2088" s="133"/>
      <c r="C2088" s="136"/>
      <c r="D2088" s="136"/>
      <c r="E2088" s="116"/>
      <c r="F2088" s="116"/>
      <c r="G2088" s="118"/>
    </row>
    <row r="2089">
      <c r="A2089" s="136"/>
      <c r="B2089" s="133"/>
      <c r="C2089" s="136"/>
      <c r="D2089" s="136"/>
      <c r="E2089" s="116"/>
      <c r="F2089" s="116"/>
      <c r="G2089" s="118"/>
    </row>
    <row r="2090">
      <c r="A2090" s="136"/>
      <c r="B2090" s="133"/>
      <c r="C2090" s="136"/>
      <c r="D2090" s="136"/>
      <c r="E2090" s="116"/>
      <c r="F2090" s="116"/>
      <c r="G2090" s="118"/>
    </row>
    <row r="2091">
      <c r="A2091" s="136"/>
      <c r="B2091" s="133"/>
      <c r="C2091" s="136"/>
      <c r="D2091" s="136"/>
      <c r="E2091" s="116"/>
      <c r="F2091" s="116"/>
      <c r="G2091" s="118"/>
    </row>
    <row r="2092">
      <c r="A2092" s="136"/>
      <c r="B2092" s="133"/>
      <c r="C2092" s="136"/>
      <c r="D2092" s="136"/>
      <c r="E2092" s="116"/>
      <c r="F2092" s="116"/>
      <c r="G2092" s="118"/>
    </row>
    <row r="2093">
      <c r="A2093" s="136"/>
      <c r="B2093" s="133"/>
      <c r="C2093" s="136"/>
      <c r="D2093" s="136"/>
      <c r="E2093" s="116"/>
      <c r="F2093" s="116"/>
      <c r="G2093" s="118"/>
    </row>
    <row r="2094">
      <c r="A2094" s="136"/>
      <c r="B2094" s="133"/>
      <c r="C2094" s="136"/>
      <c r="D2094" s="136"/>
      <c r="E2094" s="116"/>
      <c r="F2094" s="116"/>
      <c r="G2094" s="118"/>
    </row>
    <row r="2095">
      <c r="A2095" s="136"/>
      <c r="B2095" s="133"/>
      <c r="C2095" s="136"/>
      <c r="D2095" s="136"/>
      <c r="E2095" s="116"/>
      <c r="F2095" s="116"/>
      <c r="G2095" s="118"/>
    </row>
    <row r="2096">
      <c r="A2096" s="136"/>
      <c r="B2096" s="133"/>
      <c r="C2096" s="136"/>
      <c r="D2096" s="136"/>
      <c r="E2096" s="116"/>
      <c r="F2096" s="116"/>
      <c r="G2096" s="118"/>
    </row>
    <row r="2097">
      <c r="A2097" s="136"/>
      <c r="B2097" s="133"/>
      <c r="C2097" s="136"/>
      <c r="D2097" s="136"/>
      <c r="E2097" s="116"/>
      <c r="F2097" s="116"/>
      <c r="G2097" s="118"/>
    </row>
    <row r="2098">
      <c r="A2098" s="136"/>
      <c r="B2098" s="133"/>
      <c r="C2098" s="136"/>
      <c r="D2098" s="136"/>
      <c r="E2098" s="116"/>
      <c r="F2098" s="116"/>
      <c r="G2098" s="118"/>
    </row>
    <row r="2099">
      <c r="A2099" s="136"/>
      <c r="B2099" s="133"/>
      <c r="C2099" s="136"/>
      <c r="D2099" s="136"/>
      <c r="E2099" s="116"/>
      <c r="F2099" s="116"/>
      <c r="G2099" s="118"/>
    </row>
    <row r="2100">
      <c r="A2100" s="136"/>
      <c r="B2100" s="133"/>
      <c r="C2100" s="136"/>
      <c r="D2100" s="136"/>
      <c r="E2100" s="116"/>
      <c r="F2100" s="116"/>
      <c r="G2100" s="118"/>
    </row>
    <row r="2101">
      <c r="A2101" s="136"/>
      <c r="B2101" s="133"/>
      <c r="C2101" s="136"/>
      <c r="D2101" s="136"/>
      <c r="E2101" s="116"/>
      <c r="F2101" s="116"/>
      <c r="G2101" s="118"/>
    </row>
    <row r="2102">
      <c r="A2102" s="136"/>
      <c r="B2102" s="133"/>
      <c r="C2102" s="136"/>
      <c r="D2102" s="136"/>
      <c r="E2102" s="116"/>
      <c r="F2102" s="116"/>
      <c r="G2102" s="118"/>
    </row>
    <row r="2103">
      <c r="A2103" s="136"/>
      <c r="B2103" s="133"/>
      <c r="C2103" s="136"/>
      <c r="D2103" s="136"/>
      <c r="E2103" s="116"/>
      <c r="F2103" s="116"/>
      <c r="G2103" s="118"/>
    </row>
    <row r="2104">
      <c r="A2104" s="136"/>
      <c r="B2104" s="133"/>
      <c r="C2104" s="136"/>
      <c r="D2104" s="136"/>
      <c r="E2104" s="116"/>
      <c r="F2104" s="116"/>
      <c r="G2104" s="118"/>
    </row>
    <row r="2105">
      <c r="A2105" s="136"/>
      <c r="B2105" s="133"/>
      <c r="C2105" s="136"/>
      <c r="D2105" s="136"/>
      <c r="E2105" s="116"/>
      <c r="F2105" s="116"/>
      <c r="G2105" s="118"/>
    </row>
    <row r="2106">
      <c r="A2106" s="136"/>
      <c r="B2106" s="133"/>
      <c r="C2106" s="136"/>
      <c r="D2106" s="136"/>
      <c r="E2106" s="116"/>
      <c r="F2106" s="116"/>
      <c r="G2106" s="118"/>
    </row>
    <row r="2107">
      <c r="A2107" s="136"/>
      <c r="B2107" s="133"/>
      <c r="C2107" s="136"/>
      <c r="D2107" s="136"/>
      <c r="E2107" s="116"/>
      <c r="F2107" s="116"/>
      <c r="G2107" s="118"/>
    </row>
    <row r="2108">
      <c r="A2108" s="136"/>
      <c r="B2108" s="133"/>
      <c r="C2108" s="136"/>
      <c r="D2108" s="136"/>
      <c r="E2108" s="116"/>
      <c r="F2108" s="116"/>
      <c r="G2108" s="118"/>
    </row>
    <row r="2109">
      <c r="A2109" s="136"/>
      <c r="B2109" s="133"/>
      <c r="C2109" s="136"/>
      <c r="D2109" s="136"/>
      <c r="E2109" s="116"/>
      <c r="F2109" s="116"/>
      <c r="G2109" s="118"/>
    </row>
    <row r="2110">
      <c r="A2110" s="136"/>
      <c r="B2110" s="133"/>
      <c r="C2110" s="136"/>
      <c r="D2110" s="136"/>
      <c r="E2110" s="116"/>
      <c r="F2110" s="116"/>
      <c r="G2110" s="118"/>
    </row>
    <row r="2111">
      <c r="A2111" s="136"/>
      <c r="B2111" s="133"/>
      <c r="C2111" s="136"/>
      <c r="D2111" s="136"/>
      <c r="E2111" s="116"/>
      <c r="F2111" s="116"/>
      <c r="G2111" s="118"/>
    </row>
    <row r="2112">
      <c r="A2112" s="136"/>
      <c r="B2112" s="133"/>
      <c r="C2112" s="136"/>
      <c r="D2112" s="136"/>
      <c r="E2112" s="116"/>
      <c r="F2112" s="116"/>
      <c r="G2112" s="118"/>
    </row>
    <row r="2113">
      <c r="A2113" s="136"/>
      <c r="B2113" s="133"/>
      <c r="C2113" s="136"/>
      <c r="D2113" s="136"/>
      <c r="E2113" s="116"/>
      <c r="F2113" s="116"/>
      <c r="G2113" s="118"/>
    </row>
    <row r="2114">
      <c r="A2114" s="136"/>
      <c r="B2114" s="133"/>
      <c r="C2114" s="136"/>
      <c r="D2114" s="136"/>
      <c r="E2114" s="116"/>
      <c r="F2114" s="116"/>
      <c r="G2114" s="118"/>
    </row>
    <row r="2115">
      <c r="A2115" s="136"/>
      <c r="B2115" s="133"/>
      <c r="C2115" s="136"/>
      <c r="D2115" s="136"/>
      <c r="E2115" s="116"/>
      <c r="F2115" s="116"/>
      <c r="G2115" s="118"/>
    </row>
    <row r="2116">
      <c r="A2116" s="136"/>
      <c r="B2116" s="133"/>
      <c r="C2116" s="136"/>
      <c r="D2116" s="136"/>
      <c r="E2116" s="116"/>
      <c r="F2116" s="116"/>
      <c r="G2116" s="118"/>
    </row>
    <row r="2117">
      <c r="A2117" s="136"/>
      <c r="B2117" s="133"/>
      <c r="C2117" s="136"/>
      <c r="D2117" s="136"/>
      <c r="E2117" s="116"/>
      <c r="F2117" s="116"/>
      <c r="G2117" s="118"/>
    </row>
    <row r="2118">
      <c r="A2118" s="136"/>
      <c r="B2118" s="133"/>
      <c r="C2118" s="136"/>
      <c r="D2118" s="136"/>
      <c r="E2118" s="116"/>
      <c r="F2118" s="116"/>
      <c r="G2118" s="118"/>
    </row>
    <row r="2119">
      <c r="A2119" s="136"/>
      <c r="B2119" s="133"/>
      <c r="C2119" s="136"/>
      <c r="D2119" s="136"/>
      <c r="E2119" s="116"/>
      <c r="F2119" s="116"/>
      <c r="G2119" s="118"/>
    </row>
    <row r="2120">
      <c r="A2120" s="136"/>
      <c r="B2120" s="133"/>
      <c r="C2120" s="136"/>
      <c r="D2120" s="136"/>
      <c r="E2120" s="116"/>
      <c r="F2120" s="116"/>
      <c r="G2120" s="118"/>
    </row>
    <row r="2121">
      <c r="A2121" s="136"/>
      <c r="B2121" s="133"/>
      <c r="C2121" s="136"/>
      <c r="D2121" s="136"/>
      <c r="E2121" s="116"/>
      <c r="F2121" s="116"/>
      <c r="G2121" s="118"/>
    </row>
    <row r="2122">
      <c r="A2122" s="136"/>
      <c r="B2122" s="133"/>
      <c r="C2122" s="136"/>
      <c r="D2122" s="136"/>
      <c r="E2122" s="116"/>
      <c r="F2122" s="116"/>
      <c r="G2122" s="118"/>
    </row>
    <row r="2123">
      <c r="A2123" s="136"/>
      <c r="B2123" s="133"/>
      <c r="C2123" s="136"/>
      <c r="D2123" s="136"/>
      <c r="E2123" s="116"/>
      <c r="F2123" s="116"/>
      <c r="G2123" s="118"/>
    </row>
    <row r="2124">
      <c r="A2124" s="136"/>
      <c r="B2124" s="133"/>
      <c r="C2124" s="136"/>
      <c r="D2124" s="136"/>
      <c r="E2124" s="116"/>
      <c r="F2124" s="116"/>
      <c r="G2124" s="118"/>
    </row>
    <row r="2125">
      <c r="A2125" s="136"/>
      <c r="B2125" s="133"/>
      <c r="C2125" s="136"/>
      <c r="D2125" s="136"/>
      <c r="E2125" s="116"/>
      <c r="F2125" s="116"/>
      <c r="G2125" s="118"/>
    </row>
    <row r="2126">
      <c r="A2126" s="136"/>
      <c r="B2126" s="133"/>
      <c r="C2126" s="136"/>
      <c r="D2126" s="136"/>
      <c r="E2126" s="116"/>
      <c r="F2126" s="116"/>
      <c r="G2126" s="118"/>
    </row>
    <row r="2127">
      <c r="A2127" s="136"/>
      <c r="B2127" s="133"/>
      <c r="C2127" s="136"/>
      <c r="D2127" s="136"/>
      <c r="E2127" s="116"/>
      <c r="F2127" s="116"/>
      <c r="G2127" s="118"/>
    </row>
    <row r="2128">
      <c r="A2128" s="136"/>
      <c r="B2128" s="133"/>
      <c r="C2128" s="136"/>
      <c r="D2128" s="136"/>
      <c r="E2128" s="116"/>
      <c r="F2128" s="116"/>
      <c r="G2128" s="118"/>
    </row>
    <row r="2129">
      <c r="A2129" s="136"/>
      <c r="B2129" s="133"/>
      <c r="C2129" s="136"/>
      <c r="D2129" s="136"/>
      <c r="E2129" s="116"/>
      <c r="F2129" s="116"/>
      <c r="G2129" s="118"/>
    </row>
    <row r="2130">
      <c r="A2130" s="136"/>
      <c r="B2130" s="133"/>
      <c r="C2130" s="136"/>
      <c r="D2130" s="136"/>
      <c r="E2130" s="116"/>
      <c r="F2130" s="116"/>
      <c r="G2130" s="118"/>
    </row>
    <row r="2131">
      <c r="A2131" s="136"/>
      <c r="B2131" s="133"/>
      <c r="C2131" s="136"/>
      <c r="D2131" s="136"/>
      <c r="E2131" s="116"/>
      <c r="F2131" s="116"/>
      <c r="G2131" s="118"/>
    </row>
    <row r="2132">
      <c r="A2132" s="136"/>
      <c r="B2132" s="133"/>
      <c r="C2132" s="136"/>
      <c r="D2132" s="136"/>
      <c r="E2132" s="116"/>
      <c r="F2132" s="116"/>
      <c r="G2132" s="118"/>
    </row>
    <row r="2133">
      <c r="A2133" s="136"/>
      <c r="B2133" s="133"/>
      <c r="C2133" s="136"/>
      <c r="D2133" s="136"/>
      <c r="E2133" s="116"/>
      <c r="F2133" s="116"/>
      <c r="G2133" s="118"/>
    </row>
    <row r="2134">
      <c r="A2134" s="136"/>
      <c r="B2134" s="133"/>
      <c r="C2134" s="136"/>
      <c r="D2134" s="136"/>
      <c r="E2134" s="116"/>
      <c r="F2134" s="116"/>
      <c r="G2134" s="118"/>
    </row>
    <row r="2135">
      <c r="A2135" s="136"/>
      <c r="B2135" s="133"/>
      <c r="C2135" s="136"/>
      <c r="D2135" s="136"/>
      <c r="E2135" s="116"/>
      <c r="F2135" s="116"/>
      <c r="G2135" s="118"/>
    </row>
    <row r="2136">
      <c r="A2136" s="136"/>
      <c r="B2136" s="133"/>
      <c r="C2136" s="136"/>
      <c r="D2136" s="136"/>
      <c r="E2136" s="116"/>
      <c r="F2136" s="116"/>
      <c r="G2136" s="118"/>
    </row>
    <row r="2137">
      <c r="A2137" s="136"/>
      <c r="B2137" s="133"/>
      <c r="C2137" s="136"/>
      <c r="D2137" s="136"/>
      <c r="E2137" s="116"/>
      <c r="F2137" s="116"/>
      <c r="G2137" s="118"/>
    </row>
    <row r="2138">
      <c r="A2138" s="136"/>
      <c r="B2138" s="133"/>
      <c r="C2138" s="136"/>
      <c r="D2138" s="136"/>
      <c r="E2138" s="116"/>
      <c r="F2138" s="116"/>
      <c r="G2138" s="118"/>
    </row>
    <row r="2139">
      <c r="A2139" s="136"/>
      <c r="B2139" s="133"/>
      <c r="C2139" s="136"/>
      <c r="D2139" s="136"/>
      <c r="E2139" s="116"/>
      <c r="F2139" s="116"/>
      <c r="G2139" s="118"/>
    </row>
    <row r="2140">
      <c r="A2140" s="136"/>
      <c r="B2140" s="133"/>
      <c r="C2140" s="136"/>
      <c r="D2140" s="136"/>
      <c r="E2140" s="116"/>
      <c r="F2140" s="116"/>
      <c r="G2140" s="118"/>
    </row>
    <row r="2141">
      <c r="A2141" s="136"/>
      <c r="B2141" s="133"/>
      <c r="C2141" s="136"/>
      <c r="D2141" s="136"/>
      <c r="E2141" s="116"/>
      <c r="F2141" s="116"/>
      <c r="G2141" s="118"/>
    </row>
    <row r="2142">
      <c r="A2142" s="136"/>
      <c r="B2142" s="133"/>
      <c r="C2142" s="136"/>
      <c r="D2142" s="136"/>
      <c r="E2142" s="116"/>
      <c r="F2142" s="116"/>
      <c r="G2142" s="118"/>
    </row>
    <row r="2143">
      <c r="A2143" s="136"/>
      <c r="B2143" s="133"/>
      <c r="C2143" s="136"/>
      <c r="D2143" s="136"/>
      <c r="E2143" s="116"/>
      <c r="F2143" s="116"/>
      <c r="G2143" s="118"/>
    </row>
    <row r="2144">
      <c r="A2144" s="136"/>
      <c r="B2144" s="133"/>
      <c r="C2144" s="136"/>
      <c r="D2144" s="136"/>
      <c r="E2144" s="116"/>
      <c r="F2144" s="116"/>
      <c r="G2144" s="118"/>
    </row>
    <row r="2145">
      <c r="A2145" s="136"/>
      <c r="B2145" s="133"/>
      <c r="C2145" s="136"/>
      <c r="D2145" s="136"/>
      <c r="E2145" s="116"/>
      <c r="F2145" s="116"/>
      <c r="G2145" s="118"/>
    </row>
    <row r="2146">
      <c r="A2146" s="136"/>
      <c r="B2146" s="133"/>
      <c r="C2146" s="136"/>
      <c r="D2146" s="136"/>
      <c r="E2146" s="116"/>
      <c r="F2146" s="116"/>
      <c r="G2146" s="118"/>
    </row>
    <row r="2147">
      <c r="A2147" s="136"/>
      <c r="B2147" s="133"/>
      <c r="C2147" s="136"/>
      <c r="D2147" s="136"/>
      <c r="E2147" s="116"/>
      <c r="F2147" s="116"/>
      <c r="G2147" s="118"/>
    </row>
    <row r="2148">
      <c r="A2148" s="136"/>
      <c r="B2148" s="133"/>
      <c r="C2148" s="136"/>
      <c r="D2148" s="136"/>
      <c r="E2148" s="116"/>
      <c r="F2148" s="116"/>
      <c r="G2148" s="118"/>
    </row>
    <row r="2149">
      <c r="A2149" s="136"/>
      <c r="B2149" s="133"/>
      <c r="C2149" s="136"/>
      <c r="D2149" s="136"/>
      <c r="E2149" s="116"/>
      <c r="F2149" s="116"/>
      <c r="G2149" s="118"/>
    </row>
    <row r="2150">
      <c r="A2150" s="136"/>
      <c r="B2150" s="133"/>
      <c r="C2150" s="136"/>
      <c r="D2150" s="136"/>
      <c r="E2150" s="116"/>
      <c r="F2150" s="116"/>
      <c r="G2150" s="118"/>
    </row>
    <row r="2151">
      <c r="A2151" s="136"/>
      <c r="B2151" s="133"/>
      <c r="C2151" s="136"/>
      <c r="D2151" s="136"/>
      <c r="E2151" s="116"/>
      <c r="F2151" s="116"/>
      <c r="G2151" s="118"/>
    </row>
    <row r="2152">
      <c r="A2152" s="136"/>
      <c r="B2152" s="133"/>
      <c r="C2152" s="136"/>
      <c r="D2152" s="136"/>
      <c r="E2152" s="116"/>
      <c r="F2152" s="116"/>
      <c r="G2152" s="118"/>
    </row>
    <row r="2153">
      <c r="A2153" s="136"/>
      <c r="B2153" s="133"/>
      <c r="C2153" s="136"/>
      <c r="D2153" s="136"/>
      <c r="E2153" s="116"/>
      <c r="F2153" s="116"/>
      <c r="G2153" s="118"/>
    </row>
    <row r="2154">
      <c r="A2154" s="136"/>
      <c r="B2154" s="133"/>
      <c r="C2154" s="136"/>
      <c r="D2154" s="136"/>
      <c r="E2154" s="116"/>
      <c r="F2154" s="116"/>
      <c r="G2154" s="118"/>
    </row>
    <row r="2155">
      <c r="A2155" s="136"/>
      <c r="B2155" s="133"/>
      <c r="C2155" s="136"/>
      <c r="D2155" s="136"/>
      <c r="E2155" s="116"/>
      <c r="F2155" s="116"/>
      <c r="G2155" s="118"/>
    </row>
    <row r="2156">
      <c r="A2156" s="136"/>
      <c r="B2156" s="133"/>
      <c r="C2156" s="136"/>
      <c r="D2156" s="136"/>
      <c r="E2156" s="116"/>
      <c r="F2156" s="116"/>
      <c r="G2156" s="118"/>
    </row>
    <row r="2157">
      <c r="A2157" s="136"/>
      <c r="B2157" s="133"/>
      <c r="C2157" s="136"/>
      <c r="D2157" s="136"/>
      <c r="E2157" s="116"/>
      <c r="F2157" s="116"/>
      <c r="G2157" s="118"/>
    </row>
    <row r="2158">
      <c r="A2158" s="136"/>
      <c r="B2158" s="133"/>
      <c r="C2158" s="136"/>
      <c r="D2158" s="136"/>
      <c r="E2158" s="116"/>
      <c r="F2158" s="116"/>
      <c r="G2158" s="118"/>
    </row>
    <row r="2159">
      <c r="A2159" s="136"/>
      <c r="B2159" s="133"/>
      <c r="C2159" s="136"/>
      <c r="D2159" s="136"/>
      <c r="E2159" s="116"/>
      <c r="F2159" s="116"/>
      <c r="G2159" s="118"/>
    </row>
    <row r="2160">
      <c r="A2160" s="136"/>
      <c r="B2160" s="133"/>
      <c r="C2160" s="136"/>
      <c r="D2160" s="136"/>
      <c r="E2160" s="116"/>
      <c r="F2160" s="116"/>
      <c r="G2160" s="118"/>
    </row>
    <row r="2161">
      <c r="A2161" s="136"/>
      <c r="B2161" s="133"/>
      <c r="C2161" s="136"/>
      <c r="D2161" s="136"/>
      <c r="E2161" s="116"/>
      <c r="F2161" s="116"/>
      <c r="G2161" s="118"/>
    </row>
    <row r="2162">
      <c r="A2162" s="136"/>
      <c r="B2162" s="133"/>
      <c r="C2162" s="136"/>
      <c r="D2162" s="136"/>
      <c r="E2162" s="116"/>
      <c r="F2162" s="116"/>
      <c r="G2162" s="118"/>
    </row>
    <row r="2163">
      <c r="A2163" s="136"/>
      <c r="B2163" s="133"/>
      <c r="C2163" s="136"/>
      <c r="D2163" s="136"/>
      <c r="E2163" s="116"/>
      <c r="F2163" s="116"/>
      <c r="G2163" s="118"/>
    </row>
    <row r="2164">
      <c r="A2164" s="136"/>
      <c r="B2164" s="133"/>
      <c r="C2164" s="136"/>
      <c r="D2164" s="136"/>
      <c r="E2164" s="116"/>
      <c r="F2164" s="116"/>
      <c r="G2164" s="118"/>
    </row>
    <row r="2165">
      <c r="A2165" s="136"/>
      <c r="B2165" s="133"/>
      <c r="C2165" s="136"/>
      <c r="D2165" s="136"/>
      <c r="E2165" s="116"/>
      <c r="F2165" s="116"/>
      <c r="G2165" s="118"/>
    </row>
    <row r="2166">
      <c r="A2166" s="136"/>
      <c r="B2166" s="133"/>
      <c r="C2166" s="136"/>
      <c r="D2166" s="136"/>
      <c r="E2166" s="116"/>
      <c r="F2166" s="116"/>
      <c r="G2166" s="118"/>
    </row>
    <row r="2167">
      <c r="A2167" s="136"/>
      <c r="B2167" s="133"/>
      <c r="C2167" s="136"/>
      <c r="D2167" s="136"/>
      <c r="E2167" s="116"/>
      <c r="F2167" s="116"/>
      <c r="G2167" s="118"/>
    </row>
    <row r="2168">
      <c r="A2168" s="136"/>
      <c r="B2168" s="133"/>
      <c r="C2168" s="136"/>
      <c r="D2168" s="136"/>
      <c r="E2168" s="116"/>
      <c r="F2168" s="116"/>
      <c r="G2168" s="118"/>
    </row>
    <row r="2169">
      <c r="A2169" s="136"/>
      <c r="B2169" s="133"/>
      <c r="C2169" s="136"/>
      <c r="D2169" s="136"/>
      <c r="E2169" s="116"/>
      <c r="F2169" s="116"/>
      <c r="G2169" s="118"/>
    </row>
    <row r="2170">
      <c r="A2170" s="136"/>
      <c r="B2170" s="133"/>
      <c r="C2170" s="136"/>
      <c r="D2170" s="136"/>
      <c r="E2170" s="116"/>
      <c r="F2170" s="116"/>
      <c r="G2170" s="118"/>
    </row>
    <row r="2171">
      <c r="A2171" s="136"/>
      <c r="B2171" s="133"/>
      <c r="C2171" s="136"/>
      <c r="D2171" s="136"/>
      <c r="E2171" s="116"/>
      <c r="F2171" s="116"/>
      <c r="G2171" s="118"/>
    </row>
    <row r="2172">
      <c r="A2172" s="136"/>
      <c r="B2172" s="133"/>
      <c r="C2172" s="136"/>
      <c r="D2172" s="136"/>
      <c r="E2172" s="116"/>
      <c r="F2172" s="116"/>
      <c r="G2172" s="118"/>
    </row>
    <row r="2173">
      <c r="A2173" s="136"/>
      <c r="B2173" s="133"/>
      <c r="C2173" s="136"/>
      <c r="D2173" s="136"/>
      <c r="E2173" s="116"/>
      <c r="F2173" s="116"/>
      <c r="G2173" s="118"/>
    </row>
    <row r="2174">
      <c r="A2174" s="136"/>
      <c r="B2174" s="133"/>
      <c r="C2174" s="136"/>
      <c r="D2174" s="136"/>
      <c r="E2174" s="116"/>
      <c r="F2174" s="116"/>
      <c r="G2174" s="118"/>
    </row>
    <row r="2175">
      <c r="A2175" s="136"/>
      <c r="B2175" s="133"/>
      <c r="C2175" s="136"/>
      <c r="D2175" s="136"/>
      <c r="E2175" s="116"/>
      <c r="F2175" s="116"/>
      <c r="G2175" s="118"/>
    </row>
    <row r="2176">
      <c r="A2176" s="136"/>
      <c r="B2176" s="133"/>
      <c r="C2176" s="136"/>
      <c r="D2176" s="136"/>
      <c r="E2176" s="116"/>
      <c r="F2176" s="116"/>
      <c r="G2176" s="118"/>
    </row>
    <row r="2177">
      <c r="A2177" s="136"/>
      <c r="B2177" s="133"/>
      <c r="C2177" s="136"/>
      <c r="D2177" s="136"/>
      <c r="E2177" s="116"/>
      <c r="F2177" s="116"/>
      <c r="G2177" s="118"/>
    </row>
    <row r="2178">
      <c r="A2178" s="136"/>
      <c r="B2178" s="133"/>
      <c r="C2178" s="136"/>
      <c r="D2178" s="136"/>
      <c r="E2178" s="116"/>
      <c r="F2178" s="116"/>
      <c r="G2178" s="118"/>
    </row>
    <row r="2179">
      <c r="A2179" s="136"/>
      <c r="B2179" s="133"/>
      <c r="C2179" s="136"/>
      <c r="D2179" s="136"/>
      <c r="E2179" s="116"/>
      <c r="F2179" s="116"/>
      <c r="G2179" s="118"/>
    </row>
    <row r="2180">
      <c r="A2180" s="136"/>
      <c r="B2180" s="133"/>
      <c r="C2180" s="136"/>
      <c r="D2180" s="136"/>
      <c r="E2180" s="116"/>
      <c r="F2180" s="116"/>
      <c r="G2180" s="118"/>
    </row>
    <row r="2181">
      <c r="A2181" s="136"/>
      <c r="B2181" s="133"/>
      <c r="C2181" s="136"/>
      <c r="D2181" s="136"/>
      <c r="E2181" s="116"/>
      <c r="F2181" s="116"/>
      <c r="G2181" s="118"/>
    </row>
    <row r="2182">
      <c r="A2182" s="136"/>
      <c r="B2182" s="133"/>
      <c r="C2182" s="136"/>
      <c r="D2182" s="136"/>
      <c r="E2182" s="116"/>
      <c r="F2182" s="116"/>
      <c r="G2182" s="118"/>
    </row>
    <row r="2183">
      <c r="A2183" s="136"/>
      <c r="B2183" s="133"/>
      <c r="C2183" s="136"/>
      <c r="D2183" s="136"/>
      <c r="E2183" s="116"/>
      <c r="F2183" s="116"/>
      <c r="G2183" s="118"/>
    </row>
    <row r="2184">
      <c r="A2184" s="136"/>
      <c r="B2184" s="133"/>
      <c r="C2184" s="136"/>
      <c r="D2184" s="136"/>
      <c r="E2184" s="116"/>
      <c r="F2184" s="116"/>
      <c r="G2184" s="118"/>
    </row>
    <row r="2185">
      <c r="A2185" s="136"/>
      <c r="B2185" s="133"/>
      <c r="C2185" s="136"/>
      <c r="D2185" s="136"/>
      <c r="E2185" s="116"/>
      <c r="F2185" s="116"/>
      <c r="G2185" s="118"/>
    </row>
    <row r="2186">
      <c r="A2186" s="136"/>
      <c r="B2186" s="133"/>
      <c r="C2186" s="136"/>
      <c r="D2186" s="136"/>
      <c r="E2186" s="116"/>
      <c r="F2186" s="116"/>
      <c r="G2186" s="118"/>
    </row>
    <row r="2187">
      <c r="A2187" s="136"/>
      <c r="B2187" s="133"/>
      <c r="C2187" s="136"/>
      <c r="D2187" s="136"/>
      <c r="E2187" s="116"/>
      <c r="F2187" s="116"/>
      <c r="G2187" s="118"/>
    </row>
    <row r="2188">
      <c r="A2188" s="136"/>
      <c r="B2188" s="133"/>
      <c r="C2188" s="136"/>
      <c r="D2188" s="136"/>
      <c r="E2188" s="116"/>
      <c r="F2188" s="116"/>
      <c r="G2188" s="118"/>
    </row>
    <row r="2189">
      <c r="A2189" s="136"/>
      <c r="B2189" s="133"/>
      <c r="C2189" s="136"/>
      <c r="D2189" s="136"/>
      <c r="E2189" s="116"/>
      <c r="F2189" s="116"/>
      <c r="G2189" s="118"/>
    </row>
    <row r="2190">
      <c r="A2190" s="136"/>
      <c r="B2190" s="133"/>
      <c r="C2190" s="136"/>
      <c r="D2190" s="136"/>
      <c r="E2190" s="116"/>
      <c r="F2190" s="116"/>
      <c r="G2190" s="118"/>
    </row>
    <row r="2191">
      <c r="A2191" s="136"/>
      <c r="B2191" s="133"/>
      <c r="C2191" s="136"/>
      <c r="D2191" s="136"/>
      <c r="E2191" s="116"/>
      <c r="F2191" s="116"/>
      <c r="G2191" s="118"/>
    </row>
    <row r="2192">
      <c r="A2192" s="136"/>
      <c r="B2192" s="133"/>
      <c r="C2192" s="136"/>
      <c r="D2192" s="136"/>
      <c r="E2192" s="116"/>
      <c r="F2192" s="116"/>
      <c r="G2192" s="118"/>
    </row>
    <row r="2193">
      <c r="A2193" s="136"/>
      <c r="B2193" s="133"/>
      <c r="C2193" s="136"/>
      <c r="D2193" s="136"/>
      <c r="E2193" s="116"/>
      <c r="F2193" s="116"/>
      <c r="G2193" s="118"/>
    </row>
    <row r="2194">
      <c r="A2194" s="136"/>
      <c r="B2194" s="133"/>
      <c r="C2194" s="136"/>
      <c r="D2194" s="136"/>
      <c r="E2194" s="116"/>
      <c r="F2194" s="116"/>
      <c r="G2194" s="118"/>
    </row>
    <row r="2195">
      <c r="A2195" s="136"/>
      <c r="B2195" s="133"/>
      <c r="C2195" s="136"/>
      <c r="D2195" s="136"/>
      <c r="E2195" s="116"/>
      <c r="F2195" s="116"/>
      <c r="G2195" s="118"/>
    </row>
    <row r="2196">
      <c r="A2196" s="136"/>
      <c r="B2196" s="133"/>
      <c r="C2196" s="136"/>
      <c r="D2196" s="136"/>
      <c r="E2196" s="116"/>
      <c r="F2196" s="116"/>
      <c r="G2196" s="118"/>
    </row>
    <row r="2197">
      <c r="A2197" s="136"/>
      <c r="B2197" s="133"/>
      <c r="C2197" s="136"/>
      <c r="D2197" s="136"/>
      <c r="E2197" s="116"/>
      <c r="F2197" s="116"/>
      <c r="G2197" s="118"/>
    </row>
    <row r="2198">
      <c r="A2198" s="136"/>
      <c r="B2198" s="133"/>
      <c r="C2198" s="136"/>
      <c r="D2198" s="136"/>
      <c r="E2198" s="116"/>
      <c r="F2198" s="116"/>
      <c r="G2198" s="118"/>
    </row>
    <row r="2199">
      <c r="A2199" s="136"/>
      <c r="B2199" s="133"/>
      <c r="C2199" s="136"/>
      <c r="D2199" s="136"/>
      <c r="E2199" s="116"/>
      <c r="F2199" s="116"/>
      <c r="G2199" s="118"/>
    </row>
    <row r="2200">
      <c r="A2200" s="136"/>
      <c r="B2200" s="133"/>
      <c r="C2200" s="136"/>
      <c r="D2200" s="136"/>
      <c r="E2200" s="116"/>
      <c r="F2200" s="116"/>
      <c r="G2200" s="118"/>
    </row>
    <row r="2201">
      <c r="A2201" s="136"/>
      <c r="B2201" s="133"/>
      <c r="C2201" s="136"/>
      <c r="D2201" s="136"/>
      <c r="E2201" s="116"/>
      <c r="F2201" s="116"/>
      <c r="G2201" s="118"/>
    </row>
    <row r="2202">
      <c r="A2202" s="136"/>
      <c r="B2202" s="133"/>
      <c r="C2202" s="136"/>
      <c r="D2202" s="136"/>
      <c r="E2202" s="116"/>
      <c r="F2202" s="116"/>
      <c r="G2202" s="118"/>
    </row>
    <row r="2203">
      <c r="A2203" s="136"/>
      <c r="B2203" s="133"/>
      <c r="C2203" s="136"/>
      <c r="D2203" s="136"/>
      <c r="E2203" s="116"/>
      <c r="F2203" s="116"/>
      <c r="G2203" s="118"/>
    </row>
    <row r="2204">
      <c r="A2204" s="136"/>
      <c r="B2204" s="133"/>
      <c r="C2204" s="136"/>
      <c r="D2204" s="136"/>
      <c r="E2204" s="116"/>
      <c r="F2204" s="116"/>
      <c r="G2204" s="118"/>
    </row>
    <row r="2205">
      <c r="A2205" s="136"/>
      <c r="B2205" s="133"/>
      <c r="C2205" s="136"/>
      <c r="D2205" s="136"/>
      <c r="E2205" s="116"/>
      <c r="F2205" s="116"/>
      <c r="G2205" s="118"/>
    </row>
    <row r="2206">
      <c r="A2206" s="136"/>
      <c r="B2206" s="133"/>
      <c r="C2206" s="136"/>
      <c r="D2206" s="136"/>
      <c r="E2206" s="116"/>
      <c r="F2206" s="116"/>
      <c r="G2206" s="118"/>
    </row>
    <row r="2207">
      <c r="A2207" s="136"/>
      <c r="B2207" s="133"/>
      <c r="C2207" s="136"/>
      <c r="D2207" s="136"/>
      <c r="E2207" s="116"/>
      <c r="F2207" s="116"/>
      <c r="G2207" s="118"/>
    </row>
    <row r="2208">
      <c r="A2208" s="136"/>
      <c r="B2208" s="133"/>
      <c r="C2208" s="136"/>
      <c r="D2208" s="136"/>
      <c r="E2208" s="116"/>
      <c r="F2208" s="116"/>
      <c r="G2208" s="118"/>
    </row>
    <row r="2209">
      <c r="A2209" s="136"/>
      <c r="B2209" s="133"/>
      <c r="C2209" s="136"/>
      <c r="D2209" s="136"/>
      <c r="E2209" s="116"/>
      <c r="F2209" s="116"/>
      <c r="G2209" s="118"/>
    </row>
    <row r="2210">
      <c r="A2210" s="136"/>
      <c r="B2210" s="133"/>
      <c r="C2210" s="136"/>
      <c r="D2210" s="136"/>
      <c r="E2210" s="116"/>
      <c r="F2210" s="116"/>
      <c r="G2210" s="118"/>
    </row>
    <row r="2211">
      <c r="A2211" s="136"/>
      <c r="B2211" s="133"/>
      <c r="C2211" s="136"/>
      <c r="D2211" s="136"/>
      <c r="E2211" s="116"/>
      <c r="F2211" s="116"/>
      <c r="G2211" s="118"/>
    </row>
    <row r="2212">
      <c r="A2212" s="136"/>
      <c r="B2212" s="133"/>
      <c r="C2212" s="136"/>
      <c r="D2212" s="136"/>
      <c r="E2212" s="116"/>
      <c r="F2212" s="116"/>
      <c r="G2212" s="118"/>
    </row>
    <row r="2213">
      <c r="A2213" s="136"/>
      <c r="B2213" s="133"/>
      <c r="C2213" s="136"/>
      <c r="D2213" s="136"/>
      <c r="E2213" s="116"/>
      <c r="F2213" s="116"/>
      <c r="G2213" s="118"/>
    </row>
    <row r="2214">
      <c r="A2214" s="136"/>
      <c r="B2214" s="133"/>
      <c r="C2214" s="136"/>
      <c r="D2214" s="136"/>
      <c r="E2214" s="116"/>
      <c r="F2214" s="116"/>
      <c r="G2214" s="118"/>
    </row>
    <row r="2215">
      <c r="A2215" s="136"/>
      <c r="B2215" s="133"/>
      <c r="C2215" s="136"/>
      <c r="D2215" s="136"/>
      <c r="E2215" s="116"/>
      <c r="F2215" s="116"/>
      <c r="G2215" s="118"/>
    </row>
    <row r="2216">
      <c r="A2216" s="136"/>
      <c r="B2216" s="133"/>
      <c r="C2216" s="136"/>
      <c r="D2216" s="136"/>
      <c r="E2216" s="116"/>
      <c r="F2216" s="116"/>
      <c r="G2216" s="118"/>
    </row>
    <row r="2217">
      <c r="A2217" s="136"/>
      <c r="B2217" s="133"/>
      <c r="C2217" s="136"/>
      <c r="D2217" s="136"/>
      <c r="E2217" s="116"/>
      <c r="F2217" s="116"/>
      <c r="G2217" s="118"/>
    </row>
    <row r="2218">
      <c r="A2218" s="136"/>
      <c r="B2218" s="133"/>
      <c r="C2218" s="136"/>
      <c r="D2218" s="136"/>
      <c r="E2218" s="116"/>
      <c r="F2218" s="116"/>
      <c r="G2218" s="118"/>
    </row>
    <row r="2219">
      <c r="A2219" s="136"/>
      <c r="B2219" s="133"/>
      <c r="C2219" s="136"/>
      <c r="D2219" s="136"/>
      <c r="E2219" s="116"/>
      <c r="F2219" s="116"/>
      <c r="G2219" s="118"/>
    </row>
    <row r="2220">
      <c r="A2220" s="136"/>
      <c r="B2220" s="133"/>
      <c r="C2220" s="136"/>
      <c r="D2220" s="136"/>
      <c r="E2220" s="116"/>
      <c r="F2220" s="116"/>
      <c r="G2220" s="118"/>
    </row>
    <row r="2221">
      <c r="A2221" s="136"/>
      <c r="B2221" s="133"/>
      <c r="C2221" s="136"/>
      <c r="D2221" s="136"/>
      <c r="E2221" s="116"/>
      <c r="F2221" s="116"/>
      <c r="G2221" s="118"/>
    </row>
    <row r="2222">
      <c r="A2222" s="136"/>
      <c r="B2222" s="133"/>
      <c r="C2222" s="136"/>
      <c r="D2222" s="136"/>
      <c r="E2222" s="116"/>
      <c r="F2222" s="116"/>
      <c r="G2222" s="118"/>
    </row>
    <row r="2223">
      <c r="A2223" s="136"/>
      <c r="B2223" s="133"/>
      <c r="C2223" s="136"/>
      <c r="D2223" s="136"/>
      <c r="E2223" s="116"/>
      <c r="F2223" s="116"/>
      <c r="G2223" s="118"/>
    </row>
    <row r="2224">
      <c r="A2224" s="136"/>
      <c r="B2224" s="133"/>
      <c r="C2224" s="136"/>
      <c r="D2224" s="136"/>
      <c r="E2224" s="116"/>
      <c r="F2224" s="116"/>
      <c r="G2224" s="118"/>
    </row>
    <row r="2225">
      <c r="A2225" s="136"/>
      <c r="B2225" s="133"/>
      <c r="C2225" s="136"/>
      <c r="D2225" s="136"/>
      <c r="E2225" s="116"/>
      <c r="F2225" s="116"/>
      <c r="G2225" s="118"/>
    </row>
    <row r="2226">
      <c r="A2226" s="136"/>
      <c r="B2226" s="133"/>
      <c r="C2226" s="136"/>
      <c r="D2226" s="136"/>
      <c r="E2226" s="116"/>
      <c r="F2226" s="116"/>
      <c r="G2226" s="118"/>
    </row>
    <row r="2227">
      <c r="A2227" s="136"/>
      <c r="B2227" s="133"/>
      <c r="C2227" s="136"/>
      <c r="D2227" s="136"/>
      <c r="E2227" s="116"/>
      <c r="F2227" s="116"/>
      <c r="G2227" s="118"/>
    </row>
    <row r="2228">
      <c r="A2228" s="136"/>
      <c r="B2228" s="133"/>
      <c r="C2228" s="136"/>
      <c r="D2228" s="136"/>
      <c r="E2228" s="116"/>
      <c r="F2228" s="116"/>
      <c r="G2228" s="118"/>
    </row>
    <row r="2229">
      <c r="A2229" s="136"/>
      <c r="B2229" s="133"/>
      <c r="C2229" s="136"/>
      <c r="D2229" s="136"/>
      <c r="E2229" s="116"/>
      <c r="F2229" s="116"/>
      <c r="G2229" s="118"/>
    </row>
    <row r="2230">
      <c r="A2230" s="136"/>
      <c r="B2230" s="133"/>
      <c r="C2230" s="136"/>
      <c r="D2230" s="136"/>
      <c r="E2230" s="116"/>
      <c r="F2230" s="116"/>
      <c r="G2230" s="118"/>
    </row>
    <row r="2231">
      <c r="A2231" s="136"/>
      <c r="B2231" s="133"/>
      <c r="C2231" s="136"/>
      <c r="D2231" s="136"/>
      <c r="E2231" s="116"/>
      <c r="F2231" s="116"/>
      <c r="G2231" s="118"/>
    </row>
    <row r="2232">
      <c r="A2232" s="136"/>
      <c r="B2232" s="133"/>
      <c r="C2232" s="136"/>
      <c r="D2232" s="136"/>
      <c r="E2232" s="116"/>
      <c r="F2232" s="116"/>
      <c r="G2232" s="118"/>
    </row>
    <row r="2233">
      <c r="A2233" s="136"/>
      <c r="B2233" s="133"/>
      <c r="C2233" s="136"/>
      <c r="D2233" s="136"/>
      <c r="E2233" s="116"/>
      <c r="F2233" s="116"/>
      <c r="G2233" s="118"/>
    </row>
    <row r="2234">
      <c r="A2234" s="136"/>
      <c r="B2234" s="133"/>
      <c r="C2234" s="136"/>
      <c r="D2234" s="136"/>
      <c r="E2234" s="116"/>
      <c r="F2234" s="116"/>
      <c r="G2234" s="118"/>
    </row>
    <row r="2235">
      <c r="A2235" s="136"/>
      <c r="B2235" s="133"/>
      <c r="C2235" s="136"/>
      <c r="D2235" s="136"/>
      <c r="E2235" s="116"/>
      <c r="F2235" s="116"/>
      <c r="G2235" s="118"/>
    </row>
    <row r="2236">
      <c r="A2236" s="136"/>
      <c r="B2236" s="133"/>
      <c r="C2236" s="136"/>
      <c r="D2236" s="136"/>
      <c r="E2236" s="116"/>
      <c r="F2236" s="116"/>
      <c r="G2236" s="118"/>
    </row>
    <row r="2237">
      <c r="A2237" s="136"/>
      <c r="B2237" s="133"/>
      <c r="C2237" s="136"/>
      <c r="D2237" s="136"/>
      <c r="E2237" s="116"/>
      <c r="F2237" s="116"/>
      <c r="G2237" s="118"/>
    </row>
    <row r="2238">
      <c r="A2238" s="136"/>
      <c r="B2238" s="133"/>
      <c r="C2238" s="136"/>
      <c r="D2238" s="136"/>
      <c r="E2238" s="116"/>
      <c r="F2238" s="116"/>
      <c r="G2238" s="118"/>
    </row>
    <row r="2239">
      <c r="A2239" s="136"/>
      <c r="B2239" s="133"/>
      <c r="C2239" s="136"/>
      <c r="D2239" s="136"/>
      <c r="E2239" s="116"/>
      <c r="F2239" s="116"/>
      <c r="G2239" s="118"/>
    </row>
    <row r="2240">
      <c r="A2240" s="136"/>
      <c r="B2240" s="133"/>
      <c r="C2240" s="136"/>
      <c r="D2240" s="136"/>
      <c r="E2240" s="116"/>
      <c r="F2240" s="116"/>
      <c r="G2240" s="118"/>
    </row>
    <row r="2241">
      <c r="A2241" s="136"/>
      <c r="B2241" s="133"/>
      <c r="C2241" s="136"/>
      <c r="D2241" s="136"/>
      <c r="E2241" s="116"/>
      <c r="F2241" s="116"/>
      <c r="G2241" s="118"/>
    </row>
    <row r="2242">
      <c r="A2242" s="136"/>
      <c r="B2242" s="133"/>
      <c r="C2242" s="136"/>
      <c r="D2242" s="136"/>
      <c r="E2242" s="116"/>
      <c r="F2242" s="116"/>
      <c r="G2242" s="118"/>
    </row>
    <row r="2243">
      <c r="A2243" s="136"/>
      <c r="B2243" s="133"/>
      <c r="C2243" s="136"/>
      <c r="D2243" s="136"/>
      <c r="E2243" s="116"/>
      <c r="F2243" s="116"/>
      <c r="G2243" s="118"/>
    </row>
    <row r="2244">
      <c r="A2244" s="136"/>
      <c r="B2244" s="133"/>
      <c r="C2244" s="136"/>
      <c r="D2244" s="136"/>
      <c r="E2244" s="116"/>
      <c r="F2244" s="116"/>
      <c r="G2244" s="118"/>
    </row>
    <row r="2245">
      <c r="A2245" s="136"/>
      <c r="B2245" s="133"/>
      <c r="C2245" s="136"/>
      <c r="D2245" s="136"/>
      <c r="E2245" s="116"/>
      <c r="F2245" s="116"/>
      <c r="G2245" s="118"/>
    </row>
    <row r="2246">
      <c r="A2246" s="136"/>
      <c r="B2246" s="133"/>
      <c r="C2246" s="136"/>
      <c r="D2246" s="136"/>
      <c r="E2246" s="116"/>
      <c r="F2246" s="116"/>
      <c r="G2246" s="118"/>
    </row>
    <row r="2247">
      <c r="A2247" s="136"/>
      <c r="B2247" s="133"/>
      <c r="C2247" s="136"/>
      <c r="D2247" s="136"/>
      <c r="E2247" s="116"/>
      <c r="F2247" s="116"/>
      <c r="G2247" s="118"/>
    </row>
    <row r="2248">
      <c r="A2248" s="136"/>
      <c r="B2248" s="133"/>
      <c r="C2248" s="136"/>
      <c r="D2248" s="136"/>
      <c r="E2248" s="116"/>
      <c r="F2248" s="116"/>
      <c r="G2248" s="118"/>
    </row>
    <row r="2249">
      <c r="A2249" s="136"/>
      <c r="B2249" s="133"/>
      <c r="C2249" s="136"/>
      <c r="D2249" s="136"/>
      <c r="E2249" s="116"/>
      <c r="F2249" s="116"/>
      <c r="G2249" s="118"/>
    </row>
    <row r="2250">
      <c r="A2250" s="136"/>
      <c r="B2250" s="133"/>
      <c r="C2250" s="136"/>
      <c r="D2250" s="136"/>
      <c r="E2250" s="116"/>
      <c r="F2250" s="116"/>
      <c r="G2250" s="118"/>
    </row>
    <row r="2251">
      <c r="A2251" s="136"/>
      <c r="B2251" s="133"/>
      <c r="C2251" s="136"/>
      <c r="D2251" s="136"/>
      <c r="E2251" s="116"/>
      <c r="F2251" s="116"/>
      <c r="G2251" s="118"/>
    </row>
    <row r="2252">
      <c r="A2252" s="136"/>
      <c r="B2252" s="133"/>
      <c r="C2252" s="136"/>
      <c r="D2252" s="136"/>
      <c r="E2252" s="116"/>
      <c r="F2252" s="116"/>
      <c r="G2252" s="118"/>
    </row>
    <row r="2253">
      <c r="A2253" s="136"/>
      <c r="B2253" s="133"/>
      <c r="C2253" s="136"/>
      <c r="D2253" s="136"/>
      <c r="E2253" s="116"/>
      <c r="F2253" s="116"/>
      <c r="G2253" s="118"/>
    </row>
    <row r="2254">
      <c r="A2254" s="136"/>
      <c r="B2254" s="133"/>
      <c r="C2254" s="136"/>
      <c r="D2254" s="136"/>
      <c r="E2254" s="116"/>
      <c r="F2254" s="116"/>
      <c r="G2254" s="118"/>
    </row>
    <row r="2255">
      <c r="A2255" s="136"/>
      <c r="B2255" s="133"/>
      <c r="C2255" s="136"/>
      <c r="D2255" s="136"/>
      <c r="E2255" s="116"/>
      <c r="F2255" s="116"/>
      <c r="G2255" s="118"/>
    </row>
    <row r="2256">
      <c r="A2256" s="136"/>
      <c r="B2256" s="133"/>
      <c r="C2256" s="136"/>
      <c r="D2256" s="136"/>
      <c r="E2256" s="116"/>
      <c r="F2256" s="116"/>
      <c r="G2256" s="118"/>
    </row>
    <row r="2257">
      <c r="A2257" s="136"/>
      <c r="B2257" s="133"/>
      <c r="C2257" s="136"/>
      <c r="D2257" s="136"/>
      <c r="E2257" s="116"/>
      <c r="F2257" s="116"/>
      <c r="G2257" s="118"/>
    </row>
    <row r="2258">
      <c r="A2258" s="136"/>
      <c r="B2258" s="133"/>
      <c r="C2258" s="136"/>
      <c r="D2258" s="136"/>
      <c r="E2258" s="116"/>
      <c r="F2258" s="116"/>
      <c r="G2258" s="118"/>
    </row>
    <row r="2259">
      <c r="A2259" s="136"/>
      <c r="B2259" s="133"/>
      <c r="C2259" s="136"/>
      <c r="D2259" s="136"/>
      <c r="E2259" s="116"/>
      <c r="F2259" s="116"/>
      <c r="G2259" s="118"/>
    </row>
    <row r="2260">
      <c r="A2260" s="136"/>
      <c r="B2260" s="133"/>
      <c r="C2260" s="136"/>
      <c r="D2260" s="136"/>
      <c r="E2260" s="116"/>
      <c r="F2260" s="116"/>
      <c r="G2260" s="118"/>
    </row>
    <row r="2261">
      <c r="A2261" s="136"/>
      <c r="B2261" s="133"/>
      <c r="C2261" s="136"/>
      <c r="D2261" s="136"/>
      <c r="E2261" s="116"/>
      <c r="F2261" s="116"/>
      <c r="G2261" s="118"/>
    </row>
    <row r="2262">
      <c r="A2262" s="136"/>
      <c r="B2262" s="133"/>
      <c r="C2262" s="136"/>
      <c r="D2262" s="136"/>
      <c r="E2262" s="116"/>
      <c r="F2262" s="116"/>
      <c r="G2262" s="118"/>
    </row>
    <row r="2263">
      <c r="A2263" s="136"/>
      <c r="B2263" s="133"/>
      <c r="C2263" s="136"/>
      <c r="D2263" s="136"/>
      <c r="E2263" s="116"/>
      <c r="F2263" s="116"/>
      <c r="G2263" s="118"/>
    </row>
    <row r="2264">
      <c r="A2264" s="136"/>
      <c r="B2264" s="133"/>
      <c r="C2264" s="136"/>
      <c r="D2264" s="136"/>
      <c r="E2264" s="116"/>
      <c r="F2264" s="116"/>
      <c r="G2264" s="118"/>
    </row>
    <row r="2265">
      <c r="A2265" s="136"/>
      <c r="B2265" s="133"/>
      <c r="C2265" s="136"/>
      <c r="D2265" s="136"/>
      <c r="E2265" s="116"/>
      <c r="F2265" s="116"/>
      <c r="G2265" s="118"/>
    </row>
    <row r="2266">
      <c r="A2266" s="136"/>
      <c r="B2266" s="133"/>
      <c r="C2266" s="136"/>
      <c r="D2266" s="136"/>
      <c r="E2266" s="116"/>
      <c r="F2266" s="116"/>
      <c r="G2266" s="118"/>
    </row>
    <row r="2267">
      <c r="A2267" s="136"/>
      <c r="B2267" s="133"/>
      <c r="C2267" s="136"/>
      <c r="D2267" s="136"/>
      <c r="E2267" s="116"/>
      <c r="F2267" s="116"/>
      <c r="G2267" s="118"/>
    </row>
    <row r="2268">
      <c r="A2268" s="136"/>
      <c r="B2268" s="133"/>
      <c r="C2268" s="136"/>
      <c r="D2268" s="136"/>
      <c r="E2268" s="116"/>
      <c r="F2268" s="116"/>
      <c r="G2268" s="118"/>
    </row>
    <row r="2269">
      <c r="A2269" s="136"/>
      <c r="B2269" s="133"/>
      <c r="C2269" s="136"/>
      <c r="D2269" s="136"/>
      <c r="E2269" s="116"/>
      <c r="F2269" s="116"/>
      <c r="G2269" s="118"/>
    </row>
    <row r="2270">
      <c r="A2270" s="136"/>
      <c r="B2270" s="133"/>
      <c r="C2270" s="136"/>
      <c r="D2270" s="136"/>
      <c r="E2270" s="116"/>
      <c r="F2270" s="116"/>
      <c r="G2270" s="118"/>
    </row>
    <row r="2271">
      <c r="A2271" s="136"/>
      <c r="B2271" s="133"/>
      <c r="C2271" s="136"/>
      <c r="D2271" s="136"/>
      <c r="E2271" s="116"/>
      <c r="F2271" s="116"/>
      <c r="G2271" s="118"/>
    </row>
    <row r="2272">
      <c r="A2272" s="136"/>
      <c r="B2272" s="133"/>
      <c r="C2272" s="136"/>
      <c r="D2272" s="136"/>
      <c r="E2272" s="116"/>
      <c r="F2272" s="116"/>
      <c r="G2272" s="118"/>
    </row>
    <row r="2273">
      <c r="A2273" s="136"/>
      <c r="B2273" s="133"/>
      <c r="C2273" s="136"/>
      <c r="D2273" s="136"/>
      <c r="E2273" s="116"/>
      <c r="F2273" s="116"/>
      <c r="G2273" s="118"/>
    </row>
    <row r="2274">
      <c r="A2274" s="136"/>
      <c r="B2274" s="133"/>
      <c r="C2274" s="136"/>
      <c r="D2274" s="136"/>
      <c r="E2274" s="116"/>
      <c r="F2274" s="116"/>
      <c r="G2274" s="118"/>
    </row>
    <row r="2275">
      <c r="A2275" s="136"/>
      <c r="B2275" s="133"/>
      <c r="C2275" s="136"/>
      <c r="D2275" s="136"/>
      <c r="E2275" s="116"/>
      <c r="F2275" s="116"/>
      <c r="G2275" s="118"/>
    </row>
    <row r="2276">
      <c r="A2276" s="136"/>
      <c r="B2276" s="133"/>
      <c r="C2276" s="136"/>
      <c r="D2276" s="136"/>
      <c r="E2276" s="116"/>
      <c r="F2276" s="116"/>
      <c r="G2276" s="1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36.5"/>
    <col customWidth="1" min="4" max="4" width="31.75"/>
    <col customWidth="1" min="5" max="5" width="30.13"/>
  </cols>
  <sheetData>
    <row r="1">
      <c r="A1" s="53" t="s">
        <v>1</v>
      </c>
      <c r="B1" s="53" t="s">
        <v>2</v>
      </c>
      <c r="C1" s="53" t="s">
        <v>3</v>
      </c>
      <c r="D1" s="53" t="s">
        <v>4</v>
      </c>
      <c r="E1" s="54" t="s">
        <v>48</v>
      </c>
    </row>
    <row r="2">
      <c r="A2" s="143">
        <v>1.0</v>
      </c>
      <c r="B2" s="144" t="s">
        <v>55</v>
      </c>
      <c r="C2" s="144" t="s">
        <v>56</v>
      </c>
      <c r="D2" s="145"/>
      <c r="E2" s="146">
        <v>0.1</v>
      </c>
    </row>
    <row r="3">
      <c r="A3" s="143">
        <v>2.0</v>
      </c>
      <c r="B3" s="144" t="s">
        <v>55</v>
      </c>
      <c r="C3" s="144" t="s">
        <v>57</v>
      </c>
      <c r="D3" s="145"/>
      <c r="E3" s="146">
        <v>0.1</v>
      </c>
    </row>
    <row r="4">
      <c r="A4" s="143">
        <v>3.0</v>
      </c>
      <c r="B4" s="144" t="s">
        <v>55</v>
      </c>
      <c r="C4" s="144" t="s">
        <v>58</v>
      </c>
      <c r="D4" s="145"/>
      <c r="E4" s="146">
        <v>0.1</v>
      </c>
    </row>
    <row r="5">
      <c r="A5" s="143">
        <v>4.0</v>
      </c>
      <c r="B5" s="144" t="s">
        <v>55</v>
      </c>
      <c r="C5" s="144" t="s">
        <v>59</v>
      </c>
      <c r="D5" s="144" t="s">
        <v>60</v>
      </c>
      <c r="E5" s="146">
        <v>0.1</v>
      </c>
    </row>
    <row r="6">
      <c r="A6" s="143">
        <v>5.0</v>
      </c>
      <c r="B6" s="144" t="s">
        <v>55</v>
      </c>
      <c r="C6" s="144" t="s">
        <v>59</v>
      </c>
      <c r="D6" s="144" t="s">
        <v>61</v>
      </c>
      <c r="E6" s="146">
        <v>0.08</v>
      </c>
    </row>
    <row r="7">
      <c r="A7" s="143">
        <v>6.0</v>
      </c>
      <c r="B7" s="144" t="s">
        <v>55</v>
      </c>
      <c r="C7" s="144" t="s">
        <v>59</v>
      </c>
      <c r="D7" s="144" t="s">
        <v>62</v>
      </c>
      <c r="E7" s="146">
        <v>0.1</v>
      </c>
    </row>
    <row r="8">
      <c r="A8" s="143">
        <v>7.0</v>
      </c>
      <c r="B8" s="144" t="s">
        <v>55</v>
      </c>
      <c r="C8" s="144" t="s">
        <v>59</v>
      </c>
      <c r="D8" s="144" t="s">
        <v>63</v>
      </c>
      <c r="E8" s="146">
        <v>0.1</v>
      </c>
    </row>
    <row r="9">
      <c r="A9" s="143">
        <v>8.0</v>
      </c>
      <c r="B9" s="144" t="s">
        <v>55</v>
      </c>
      <c r="C9" s="144" t="s">
        <v>64</v>
      </c>
      <c r="D9" s="144" t="s">
        <v>65</v>
      </c>
      <c r="E9" s="146">
        <v>0.08</v>
      </c>
    </row>
    <row r="10">
      <c r="A10" s="143">
        <v>9.0</v>
      </c>
      <c r="B10" s="144" t="s">
        <v>55</v>
      </c>
      <c r="C10" s="144" t="s">
        <v>64</v>
      </c>
      <c r="D10" s="144" t="s">
        <v>66</v>
      </c>
      <c r="E10" s="146">
        <v>0.08</v>
      </c>
    </row>
    <row r="11">
      <c r="A11" s="143">
        <v>10.0</v>
      </c>
      <c r="B11" s="144" t="s">
        <v>55</v>
      </c>
      <c r="C11" s="144" t="s">
        <v>64</v>
      </c>
      <c r="D11" s="144" t="s">
        <v>62</v>
      </c>
      <c r="E11" s="146">
        <v>0.08</v>
      </c>
    </row>
    <row r="12">
      <c r="A12" s="143">
        <v>11.0</v>
      </c>
      <c r="B12" s="144" t="s">
        <v>55</v>
      </c>
      <c r="C12" s="144" t="s">
        <v>64</v>
      </c>
      <c r="D12" s="144" t="s">
        <v>67</v>
      </c>
      <c r="E12" s="146">
        <v>0.08</v>
      </c>
    </row>
    <row r="13">
      <c r="A13" s="143">
        <v>12.0</v>
      </c>
      <c r="B13" s="144" t="s">
        <v>55</v>
      </c>
      <c r="C13" s="144" t="s">
        <v>64</v>
      </c>
      <c r="D13" s="144" t="s">
        <v>68</v>
      </c>
      <c r="E13" s="146">
        <v>0.08</v>
      </c>
    </row>
    <row r="14">
      <c r="A14" s="143">
        <v>13.0</v>
      </c>
      <c r="B14" s="144" t="s">
        <v>55</v>
      </c>
      <c r="C14" s="144" t="s">
        <v>69</v>
      </c>
      <c r="D14" s="145"/>
      <c r="E14" s="146">
        <v>0.1</v>
      </c>
    </row>
    <row r="15">
      <c r="A15" s="143">
        <v>14.0</v>
      </c>
      <c r="B15" s="144" t="s">
        <v>55</v>
      </c>
      <c r="C15" s="144" t="s">
        <v>62</v>
      </c>
      <c r="D15" s="145"/>
      <c r="E15" s="146">
        <v>0.1</v>
      </c>
    </row>
    <row r="16">
      <c r="A16" s="143">
        <v>15.0</v>
      </c>
      <c r="B16" s="144" t="s">
        <v>70</v>
      </c>
      <c r="C16" s="144" t="s">
        <v>71</v>
      </c>
      <c r="D16" s="144" t="s">
        <v>72</v>
      </c>
      <c r="E16" s="146">
        <v>0.1</v>
      </c>
    </row>
    <row r="17">
      <c r="A17" s="143">
        <v>16.0</v>
      </c>
      <c r="B17" s="144" t="s">
        <v>70</v>
      </c>
      <c r="C17" s="144" t="s">
        <v>71</v>
      </c>
      <c r="D17" s="144" t="s">
        <v>73</v>
      </c>
      <c r="E17" s="146">
        <v>0.1</v>
      </c>
    </row>
    <row r="18">
      <c r="A18" s="143">
        <v>17.0</v>
      </c>
      <c r="B18" s="144" t="s">
        <v>70</v>
      </c>
      <c r="C18" s="144" t="s">
        <v>71</v>
      </c>
      <c r="D18" s="144" t="s">
        <v>74</v>
      </c>
      <c r="E18" s="146">
        <v>0.1</v>
      </c>
    </row>
    <row r="19">
      <c r="A19" s="143">
        <v>18.0</v>
      </c>
      <c r="B19" s="144" t="s">
        <v>70</v>
      </c>
      <c r="C19" s="144" t="s">
        <v>71</v>
      </c>
      <c r="D19" s="144" t="s">
        <v>75</v>
      </c>
      <c r="E19" s="146">
        <v>0.1</v>
      </c>
    </row>
    <row r="20">
      <c r="A20" s="143">
        <v>19.0</v>
      </c>
      <c r="B20" s="144" t="s">
        <v>70</v>
      </c>
      <c r="C20" s="144" t="s">
        <v>71</v>
      </c>
      <c r="D20" s="144" t="s">
        <v>76</v>
      </c>
      <c r="E20" s="146">
        <v>0.1</v>
      </c>
    </row>
    <row r="21">
      <c r="A21" s="143">
        <v>20.0</v>
      </c>
      <c r="B21" s="144" t="s">
        <v>70</v>
      </c>
      <c r="C21" s="144" t="s">
        <v>71</v>
      </c>
      <c r="D21" s="144" t="s">
        <v>77</v>
      </c>
      <c r="E21" s="146">
        <v>0.1</v>
      </c>
    </row>
    <row r="22">
      <c r="A22" s="143">
        <v>21.0</v>
      </c>
      <c r="B22" s="144" t="s">
        <v>70</v>
      </c>
      <c r="C22" s="144" t="s">
        <v>71</v>
      </c>
      <c r="D22" s="144" t="s">
        <v>78</v>
      </c>
      <c r="E22" s="146">
        <v>0.1</v>
      </c>
    </row>
    <row r="23">
      <c r="A23" s="143">
        <v>22.0</v>
      </c>
      <c r="B23" s="144" t="s">
        <v>70</v>
      </c>
      <c r="C23" s="144" t="s">
        <v>71</v>
      </c>
      <c r="D23" s="144" t="s">
        <v>62</v>
      </c>
      <c r="E23" s="146">
        <v>0.1</v>
      </c>
    </row>
    <row r="24">
      <c r="A24" s="143">
        <v>23.0</v>
      </c>
      <c r="B24" s="144" t="s">
        <v>70</v>
      </c>
      <c r="C24" s="144" t="s">
        <v>71</v>
      </c>
      <c r="D24" s="144" t="s">
        <v>79</v>
      </c>
      <c r="E24" s="146">
        <v>0.1</v>
      </c>
    </row>
    <row r="25">
      <c r="A25" s="143">
        <v>24.0</v>
      </c>
      <c r="B25" s="144" t="s">
        <v>70</v>
      </c>
      <c r="C25" s="144" t="s">
        <v>71</v>
      </c>
      <c r="D25" s="144" t="s">
        <v>80</v>
      </c>
      <c r="E25" s="146">
        <v>0.1</v>
      </c>
    </row>
    <row r="26">
      <c r="A26" s="143">
        <v>25.0</v>
      </c>
      <c r="B26" s="144" t="s">
        <v>70</v>
      </c>
      <c r="C26" s="144" t="s">
        <v>71</v>
      </c>
      <c r="D26" s="144" t="s">
        <v>81</v>
      </c>
      <c r="E26" s="146">
        <v>0.1</v>
      </c>
    </row>
    <row r="27">
      <c r="A27" s="143">
        <v>26.0</v>
      </c>
      <c r="B27" s="144" t="s">
        <v>70</v>
      </c>
      <c r="C27" s="144" t="s">
        <v>82</v>
      </c>
      <c r="D27" s="144" t="s">
        <v>83</v>
      </c>
      <c r="E27" s="146">
        <v>0.1</v>
      </c>
    </row>
    <row r="28">
      <c r="A28" s="143">
        <v>27.0</v>
      </c>
      <c r="B28" s="144" t="s">
        <v>70</v>
      </c>
      <c r="C28" s="144" t="s">
        <v>82</v>
      </c>
      <c r="D28" s="144" t="s">
        <v>84</v>
      </c>
      <c r="E28" s="146">
        <v>0.1</v>
      </c>
    </row>
    <row r="29">
      <c r="A29" s="143">
        <v>28.0</v>
      </c>
      <c r="B29" s="144" t="s">
        <v>70</v>
      </c>
      <c r="C29" s="144" t="s">
        <v>82</v>
      </c>
      <c r="D29" s="144" t="s">
        <v>85</v>
      </c>
      <c r="E29" s="146">
        <v>0.1</v>
      </c>
    </row>
    <row r="30">
      <c r="A30" s="143">
        <v>29.0</v>
      </c>
      <c r="B30" s="144" t="s">
        <v>70</v>
      </c>
      <c r="C30" s="144" t="s">
        <v>82</v>
      </c>
      <c r="D30" s="144" t="s">
        <v>86</v>
      </c>
      <c r="E30" s="146">
        <v>0.1</v>
      </c>
    </row>
    <row r="31">
      <c r="A31" s="143">
        <v>30.0</v>
      </c>
      <c r="B31" s="144" t="s">
        <v>70</v>
      </c>
      <c r="C31" s="144" t="s">
        <v>82</v>
      </c>
      <c r="D31" s="144" t="s">
        <v>62</v>
      </c>
      <c r="E31" s="146">
        <v>0.1</v>
      </c>
    </row>
    <row r="32">
      <c r="A32" s="143">
        <v>31.0</v>
      </c>
      <c r="B32" s="144" t="s">
        <v>70</v>
      </c>
      <c r="C32" s="144" t="s">
        <v>82</v>
      </c>
      <c r="D32" s="144" t="s">
        <v>87</v>
      </c>
      <c r="E32" s="146">
        <v>0.1</v>
      </c>
    </row>
    <row r="33">
      <c r="A33" s="143">
        <v>32.0</v>
      </c>
      <c r="B33" s="144" t="s">
        <v>70</v>
      </c>
      <c r="C33" s="144" t="s">
        <v>88</v>
      </c>
      <c r="D33" s="144" t="s">
        <v>89</v>
      </c>
      <c r="E33" s="146">
        <v>0.075</v>
      </c>
    </row>
    <row r="34">
      <c r="A34" s="143">
        <v>33.0</v>
      </c>
      <c r="B34" s="144" t="s">
        <v>70</v>
      </c>
      <c r="C34" s="144" t="s">
        <v>88</v>
      </c>
      <c r="D34" s="144" t="s">
        <v>90</v>
      </c>
      <c r="E34" s="146">
        <v>0.075</v>
      </c>
    </row>
    <row r="35">
      <c r="A35" s="143">
        <v>34.0</v>
      </c>
      <c r="B35" s="144" t="s">
        <v>70</v>
      </c>
      <c r="C35" s="144" t="s">
        <v>88</v>
      </c>
      <c r="D35" s="144" t="s">
        <v>91</v>
      </c>
      <c r="E35" s="146">
        <v>0.075</v>
      </c>
    </row>
    <row r="36">
      <c r="A36" s="143">
        <v>35.0</v>
      </c>
      <c r="B36" s="144" t="s">
        <v>70</v>
      </c>
      <c r="C36" s="144" t="s">
        <v>88</v>
      </c>
      <c r="D36" s="144" t="s">
        <v>92</v>
      </c>
      <c r="E36" s="146">
        <v>0.075</v>
      </c>
    </row>
    <row r="37">
      <c r="A37" s="143">
        <v>36.0</v>
      </c>
      <c r="B37" s="144" t="s">
        <v>70</v>
      </c>
      <c r="C37" s="144" t="s">
        <v>88</v>
      </c>
      <c r="D37" s="144" t="s">
        <v>93</v>
      </c>
      <c r="E37" s="146">
        <v>0.075</v>
      </c>
    </row>
    <row r="38">
      <c r="A38" s="143">
        <v>37.0</v>
      </c>
      <c r="B38" s="144" t="s">
        <v>70</v>
      </c>
      <c r="C38" s="144" t="s">
        <v>88</v>
      </c>
      <c r="D38" s="144" t="s">
        <v>62</v>
      </c>
      <c r="E38" s="146">
        <v>0.075</v>
      </c>
    </row>
    <row r="39">
      <c r="A39" s="143">
        <v>38.0</v>
      </c>
      <c r="B39" s="144" t="s">
        <v>70</v>
      </c>
      <c r="C39" s="144" t="s">
        <v>88</v>
      </c>
      <c r="D39" s="144" t="s">
        <v>94</v>
      </c>
      <c r="E39" s="146">
        <v>0.075</v>
      </c>
    </row>
    <row r="40">
      <c r="A40" s="143">
        <v>39.0</v>
      </c>
      <c r="B40" s="144" t="s">
        <v>70</v>
      </c>
      <c r="C40" s="144" t="s">
        <v>88</v>
      </c>
      <c r="D40" s="144" t="s">
        <v>95</v>
      </c>
      <c r="E40" s="146">
        <v>0.07</v>
      </c>
    </row>
    <row r="41">
      <c r="A41" s="143">
        <v>40.0</v>
      </c>
      <c r="B41" s="144" t="s">
        <v>70</v>
      </c>
      <c r="C41" s="144" t="s">
        <v>96</v>
      </c>
      <c r="D41" s="145"/>
      <c r="E41" s="146">
        <v>0.09</v>
      </c>
    </row>
    <row r="42">
      <c r="A42" s="143">
        <v>41.0</v>
      </c>
      <c r="B42" s="144" t="s">
        <v>70</v>
      </c>
      <c r="C42" s="144" t="s">
        <v>97</v>
      </c>
      <c r="D42" s="145"/>
      <c r="E42" s="146">
        <v>0.07</v>
      </c>
    </row>
    <row r="43">
      <c r="A43" s="143">
        <v>42.0</v>
      </c>
      <c r="B43" s="144" t="s">
        <v>70</v>
      </c>
      <c r="C43" s="144" t="s">
        <v>98</v>
      </c>
      <c r="D43" s="144" t="s">
        <v>99</v>
      </c>
      <c r="E43" s="146">
        <v>0.1</v>
      </c>
    </row>
    <row r="44">
      <c r="A44" s="143">
        <v>43.0</v>
      </c>
      <c r="B44" s="144" t="s">
        <v>70</v>
      </c>
      <c r="C44" s="144" t="s">
        <v>98</v>
      </c>
      <c r="D44" s="144" t="s">
        <v>100</v>
      </c>
      <c r="E44" s="146">
        <v>0.1</v>
      </c>
    </row>
    <row r="45">
      <c r="A45" s="143">
        <v>44.0</v>
      </c>
      <c r="B45" s="144" t="s">
        <v>70</v>
      </c>
      <c r="C45" s="144" t="s">
        <v>98</v>
      </c>
      <c r="D45" s="144" t="s">
        <v>101</v>
      </c>
      <c r="E45" s="146">
        <v>0.1</v>
      </c>
    </row>
    <row r="46">
      <c r="A46" s="143">
        <v>45.0</v>
      </c>
      <c r="B46" s="144" t="s">
        <v>70</v>
      </c>
      <c r="C46" s="144" t="s">
        <v>98</v>
      </c>
      <c r="D46" s="144" t="s">
        <v>102</v>
      </c>
      <c r="E46" s="146">
        <v>0.1</v>
      </c>
    </row>
    <row r="47">
      <c r="A47" s="143">
        <v>46.0</v>
      </c>
      <c r="B47" s="144" t="s">
        <v>70</v>
      </c>
      <c r="C47" s="144" t="s">
        <v>98</v>
      </c>
      <c r="D47" s="144" t="s">
        <v>62</v>
      </c>
      <c r="E47" s="146">
        <v>0.1</v>
      </c>
    </row>
    <row r="48">
      <c r="A48" s="143">
        <v>47.0</v>
      </c>
      <c r="B48" s="144" t="s">
        <v>70</v>
      </c>
      <c r="C48" s="144" t="s">
        <v>103</v>
      </c>
      <c r="D48" s="145"/>
      <c r="E48" s="146">
        <v>0.08</v>
      </c>
    </row>
    <row r="49">
      <c r="A49" s="143">
        <v>48.0</v>
      </c>
      <c r="B49" s="144" t="s">
        <v>70</v>
      </c>
      <c r="C49" s="144" t="s">
        <v>62</v>
      </c>
      <c r="D49" s="145"/>
      <c r="E49" s="146">
        <v>0.1</v>
      </c>
    </row>
    <row r="50">
      <c r="A50" s="143">
        <v>49.0</v>
      </c>
      <c r="B50" s="144" t="s">
        <v>70</v>
      </c>
      <c r="C50" s="144" t="s">
        <v>104</v>
      </c>
      <c r="D50" s="144" t="s">
        <v>105</v>
      </c>
      <c r="E50" s="146">
        <v>0.08</v>
      </c>
    </row>
    <row r="51">
      <c r="A51" s="143">
        <v>50.0</v>
      </c>
      <c r="B51" s="144" t="s">
        <v>70</v>
      </c>
      <c r="C51" s="144" t="s">
        <v>104</v>
      </c>
      <c r="D51" s="144" t="s">
        <v>106</v>
      </c>
      <c r="E51" s="146">
        <v>0.08</v>
      </c>
    </row>
    <row r="52">
      <c r="A52" s="143">
        <v>51.0</v>
      </c>
      <c r="B52" s="144" t="s">
        <v>70</v>
      </c>
      <c r="C52" s="144" t="s">
        <v>104</v>
      </c>
      <c r="D52" s="144" t="s">
        <v>107</v>
      </c>
      <c r="E52" s="146">
        <v>0.08</v>
      </c>
    </row>
    <row r="53">
      <c r="A53" s="143">
        <v>52.0</v>
      </c>
      <c r="B53" s="144" t="s">
        <v>70</v>
      </c>
      <c r="C53" s="144" t="s">
        <v>104</v>
      </c>
      <c r="D53" s="144" t="s">
        <v>62</v>
      </c>
      <c r="E53" s="146">
        <v>0.08</v>
      </c>
    </row>
    <row r="54">
      <c r="A54" s="143">
        <v>53.0</v>
      </c>
      <c r="B54" s="144" t="s">
        <v>70</v>
      </c>
      <c r="C54" s="144" t="s">
        <v>104</v>
      </c>
      <c r="D54" s="144" t="s">
        <v>108</v>
      </c>
      <c r="E54" s="146">
        <v>0.08</v>
      </c>
    </row>
    <row r="55">
      <c r="A55" s="143">
        <v>54.0</v>
      </c>
      <c r="B55" s="144" t="s">
        <v>109</v>
      </c>
      <c r="C55" s="144" t="s">
        <v>110</v>
      </c>
      <c r="D55" s="144" t="s">
        <v>111</v>
      </c>
      <c r="E55" s="146">
        <v>0.08</v>
      </c>
    </row>
    <row r="56">
      <c r="A56" s="143">
        <v>55.0</v>
      </c>
      <c r="B56" s="144" t="s">
        <v>109</v>
      </c>
      <c r="C56" s="144" t="s">
        <v>110</v>
      </c>
      <c r="D56" s="144" t="s">
        <v>112</v>
      </c>
      <c r="E56" s="146">
        <v>0.08</v>
      </c>
    </row>
    <row r="57">
      <c r="A57" s="143">
        <v>56.0</v>
      </c>
      <c r="B57" s="144" t="s">
        <v>109</v>
      </c>
      <c r="C57" s="144" t="s">
        <v>110</v>
      </c>
      <c r="D57" s="144" t="s">
        <v>113</v>
      </c>
      <c r="E57" s="146">
        <v>0.08</v>
      </c>
    </row>
    <row r="58">
      <c r="A58" s="143">
        <v>57.0</v>
      </c>
      <c r="B58" s="144" t="s">
        <v>109</v>
      </c>
      <c r="C58" s="144" t="s">
        <v>110</v>
      </c>
      <c r="D58" s="144" t="s">
        <v>114</v>
      </c>
      <c r="E58" s="146">
        <v>0.08</v>
      </c>
    </row>
    <row r="59">
      <c r="A59" s="143">
        <v>58.0</v>
      </c>
      <c r="B59" s="144" t="s">
        <v>109</v>
      </c>
      <c r="C59" s="144" t="s">
        <v>110</v>
      </c>
      <c r="D59" s="144" t="s">
        <v>115</v>
      </c>
      <c r="E59" s="146">
        <v>0.08</v>
      </c>
    </row>
    <row r="60">
      <c r="A60" s="143">
        <v>59.0</v>
      </c>
      <c r="B60" s="144" t="s">
        <v>109</v>
      </c>
      <c r="C60" s="144" t="s">
        <v>110</v>
      </c>
      <c r="D60" s="144" t="s">
        <v>62</v>
      </c>
      <c r="E60" s="146">
        <v>0.08</v>
      </c>
    </row>
    <row r="61">
      <c r="A61" s="143">
        <v>60.0</v>
      </c>
      <c r="B61" s="144" t="s">
        <v>109</v>
      </c>
      <c r="C61" s="144" t="s">
        <v>110</v>
      </c>
      <c r="D61" s="144" t="s">
        <v>116</v>
      </c>
      <c r="E61" s="146">
        <v>0.08</v>
      </c>
    </row>
    <row r="62">
      <c r="A62" s="143">
        <v>61.0</v>
      </c>
      <c r="B62" s="144" t="s">
        <v>109</v>
      </c>
      <c r="C62" s="144" t="s">
        <v>117</v>
      </c>
      <c r="D62" s="144" t="s">
        <v>118</v>
      </c>
      <c r="E62" s="146">
        <v>0.075</v>
      </c>
    </row>
    <row r="63">
      <c r="A63" s="143">
        <v>62.0</v>
      </c>
      <c r="B63" s="144" t="s">
        <v>109</v>
      </c>
      <c r="C63" s="144" t="s">
        <v>117</v>
      </c>
      <c r="D63" s="144" t="s">
        <v>119</v>
      </c>
      <c r="E63" s="146">
        <v>0.075</v>
      </c>
    </row>
    <row r="64">
      <c r="A64" s="143">
        <v>63.0</v>
      </c>
      <c r="B64" s="144" t="s">
        <v>109</v>
      </c>
      <c r="C64" s="144" t="s">
        <v>117</v>
      </c>
      <c r="D64" s="144" t="s">
        <v>120</v>
      </c>
      <c r="E64" s="146">
        <v>0.075</v>
      </c>
    </row>
    <row r="65">
      <c r="A65" s="143">
        <v>64.0</v>
      </c>
      <c r="B65" s="144" t="s">
        <v>109</v>
      </c>
      <c r="C65" s="144" t="s">
        <v>117</v>
      </c>
      <c r="D65" s="144" t="s">
        <v>121</v>
      </c>
      <c r="E65" s="146">
        <v>0.075</v>
      </c>
    </row>
    <row r="66">
      <c r="A66" s="143">
        <v>65.0</v>
      </c>
      <c r="B66" s="144" t="s">
        <v>109</v>
      </c>
      <c r="C66" s="144" t="s">
        <v>117</v>
      </c>
      <c r="D66" s="144" t="s">
        <v>62</v>
      </c>
      <c r="E66" s="146">
        <v>0.075</v>
      </c>
    </row>
    <row r="67">
      <c r="A67" s="143">
        <v>66.0</v>
      </c>
      <c r="B67" s="144" t="s">
        <v>109</v>
      </c>
      <c r="C67" s="144" t="s">
        <v>117</v>
      </c>
      <c r="D67" s="144" t="s">
        <v>122</v>
      </c>
      <c r="E67" s="146">
        <v>0.075</v>
      </c>
    </row>
    <row r="68">
      <c r="A68" s="143">
        <v>67.0</v>
      </c>
      <c r="B68" s="144" t="s">
        <v>109</v>
      </c>
      <c r="C68" s="144" t="s">
        <v>117</v>
      </c>
      <c r="D68" s="144" t="s">
        <v>123</v>
      </c>
      <c r="E68" s="146">
        <v>0.075</v>
      </c>
    </row>
    <row r="69">
      <c r="A69" s="143">
        <v>68.0</v>
      </c>
      <c r="B69" s="144" t="s">
        <v>109</v>
      </c>
      <c r="C69" s="144" t="s">
        <v>117</v>
      </c>
      <c r="D69" s="144" t="s">
        <v>124</v>
      </c>
      <c r="E69" s="146">
        <v>0.075</v>
      </c>
    </row>
    <row r="70">
      <c r="A70" s="143">
        <v>69.0</v>
      </c>
      <c r="B70" s="144" t="s">
        <v>109</v>
      </c>
      <c r="C70" s="144" t="s">
        <v>117</v>
      </c>
      <c r="D70" s="144" t="s">
        <v>125</v>
      </c>
      <c r="E70" s="146">
        <v>0.075</v>
      </c>
    </row>
    <row r="71">
      <c r="A71" s="143">
        <v>70.0</v>
      </c>
      <c r="B71" s="144" t="s">
        <v>109</v>
      </c>
      <c r="C71" s="144" t="s">
        <v>117</v>
      </c>
      <c r="D71" s="144" t="s">
        <v>126</v>
      </c>
      <c r="E71" s="146">
        <v>0.075</v>
      </c>
    </row>
    <row r="72">
      <c r="A72" s="143">
        <v>71.0</v>
      </c>
      <c r="B72" s="144" t="s">
        <v>109</v>
      </c>
      <c r="C72" s="144" t="s">
        <v>117</v>
      </c>
      <c r="D72" s="144" t="s">
        <v>127</v>
      </c>
      <c r="E72" s="146">
        <v>0.075</v>
      </c>
    </row>
    <row r="73">
      <c r="A73" s="143">
        <v>72.0</v>
      </c>
      <c r="B73" s="144" t="s">
        <v>109</v>
      </c>
      <c r="C73" s="144" t="s">
        <v>117</v>
      </c>
      <c r="D73" s="144" t="s">
        <v>128</v>
      </c>
      <c r="E73" s="146">
        <v>0.075</v>
      </c>
    </row>
    <row r="74">
      <c r="A74" s="143">
        <v>73.0</v>
      </c>
      <c r="B74" s="144" t="s">
        <v>109</v>
      </c>
      <c r="C74" s="144" t="s">
        <v>129</v>
      </c>
      <c r="D74" s="144" t="s">
        <v>130</v>
      </c>
      <c r="E74" s="146">
        <v>0.025</v>
      </c>
    </row>
    <row r="75">
      <c r="A75" s="143">
        <v>74.0</v>
      </c>
      <c r="B75" s="144" t="s">
        <v>109</v>
      </c>
      <c r="C75" s="144" t="s">
        <v>129</v>
      </c>
      <c r="D75" s="144" t="s">
        <v>131</v>
      </c>
      <c r="E75" s="146">
        <v>0.02</v>
      </c>
    </row>
    <row r="76">
      <c r="A76" s="143">
        <v>75.0</v>
      </c>
      <c r="B76" s="144" t="s">
        <v>109</v>
      </c>
      <c r="C76" s="144" t="s">
        <v>129</v>
      </c>
      <c r="D76" s="144" t="s">
        <v>132</v>
      </c>
      <c r="E76" s="146">
        <v>0.025</v>
      </c>
    </row>
    <row r="77">
      <c r="A77" s="143">
        <v>76.0</v>
      </c>
      <c r="B77" s="144" t="s">
        <v>109</v>
      </c>
      <c r="C77" s="144" t="s">
        <v>129</v>
      </c>
      <c r="D77" s="144" t="s">
        <v>62</v>
      </c>
      <c r="E77" s="146">
        <v>0.025</v>
      </c>
    </row>
    <row r="78">
      <c r="A78" s="143">
        <v>77.0</v>
      </c>
      <c r="B78" s="144" t="s">
        <v>109</v>
      </c>
      <c r="C78" s="144" t="s">
        <v>129</v>
      </c>
      <c r="D78" s="144" t="s">
        <v>133</v>
      </c>
      <c r="E78" s="146">
        <v>0.025</v>
      </c>
    </row>
    <row r="79">
      <c r="A79" s="143">
        <v>78.0</v>
      </c>
      <c r="B79" s="144" t="s">
        <v>109</v>
      </c>
      <c r="C79" s="144" t="s">
        <v>134</v>
      </c>
      <c r="D79" s="144" t="s">
        <v>135</v>
      </c>
      <c r="E79" s="146">
        <v>0.1</v>
      </c>
    </row>
    <row r="80">
      <c r="A80" s="143">
        <v>79.0</v>
      </c>
      <c r="B80" s="144" t="s">
        <v>109</v>
      </c>
      <c r="C80" s="144" t="s">
        <v>134</v>
      </c>
      <c r="D80" s="144" t="s">
        <v>136</v>
      </c>
      <c r="E80" s="146">
        <v>0.1</v>
      </c>
    </row>
    <row r="81">
      <c r="A81" s="143">
        <v>80.0</v>
      </c>
      <c r="B81" s="144" t="s">
        <v>109</v>
      </c>
      <c r="C81" s="144" t="s">
        <v>134</v>
      </c>
      <c r="D81" s="144" t="s">
        <v>137</v>
      </c>
      <c r="E81" s="146">
        <v>0.1</v>
      </c>
    </row>
    <row r="82">
      <c r="A82" s="143">
        <v>81.0</v>
      </c>
      <c r="B82" s="144" t="s">
        <v>109</v>
      </c>
      <c r="C82" s="144" t="s">
        <v>134</v>
      </c>
      <c r="D82" s="144" t="s">
        <v>62</v>
      </c>
      <c r="E82" s="146">
        <v>0.1</v>
      </c>
    </row>
    <row r="83">
      <c r="A83" s="143">
        <v>82.0</v>
      </c>
      <c r="B83" s="144" t="s">
        <v>109</v>
      </c>
      <c r="C83" s="144" t="s">
        <v>138</v>
      </c>
      <c r="D83" s="145"/>
      <c r="E83" s="146">
        <v>0.02</v>
      </c>
    </row>
    <row r="84">
      <c r="A84" s="143">
        <v>83.0</v>
      </c>
      <c r="B84" s="144" t="s">
        <v>109</v>
      </c>
      <c r="C84" s="144" t="s">
        <v>139</v>
      </c>
      <c r="D84" s="145"/>
      <c r="E84" s="146">
        <v>0.02</v>
      </c>
    </row>
    <row r="85">
      <c r="A85" s="143">
        <v>84.0</v>
      </c>
      <c r="B85" s="144" t="s">
        <v>109</v>
      </c>
      <c r="C85" s="144" t="s">
        <v>140</v>
      </c>
      <c r="D85" s="144" t="s">
        <v>141</v>
      </c>
      <c r="E85" s="146">
        <v>0.08</v>
      </c>
    </row>
    <row r="86">
      <c r="A86" s="143">
        <v>85.0</v>
      </c>
      <c r="B86" s="144" t="s">
        <v>109</v>
      </c>
      <c r="C86" s="144" t="s">
        <v>140</v>
      </c>
      <c r="D86" s="144" t="s">
        <v>142</v>
      </c>
      <c r="E86" s="146">
        <v>0.08</v>
      </c>
    </row>
    <row r="87">
      <c r="A87" s="143">
        <v>86.0</v>
      </c>
      <c r="B87" s="144" t="s">
        <v>109</v>
      </c>
      <c r="C87" s="144" t="s">
        <v>140</v>
      </c>
      <c r="D87" s="144" t="s">
        <v>143</v>
      </c>
      <c r="E87" s="146">
        <v>0.08</v>
      </c>
    </row>
    <row r="88">
      <c r="A88" s="143">
        <v>87.0</v>
      </c>
      <c r="B88" s="144" t="s">
        <v>109</v>
      </c>
      <c r="C88" s="144" t="s">
        <v>140</v>
      </c>
      <c r="D88" s="144" t="s">
        <v>144</v>
      </c>
      <c r="E88" s="146">
        <v>0.08</v>
      </c>
    </row>
    <row r="89">
      <c r="A89" s="143">
        <v>88.0</v>
      </c>
      <c r="B89" s="144" t="s">
        <v>109</v>
      </c>
      <c r="C89" s="144" t="s">
        <v>140</v>
      </c>
      <c r="D89" s="144" t="s">
        <v>62</v>
      </c>
      <c r="E89" s="146">
        <v>0.08</v>
      </c>
    </row>
    <row r="90">
      <c r="A90" s="143">
        <v>89.0</v>
      </c>
      <c r="B90" s="144" t="s">
        <v>109</v>
      </c>
      <c r="C90" s="144" t="s">
        <v>140</v>
      </c>
      <c r="D90" s="144" t="s">
        <v>145</v>
      </c>
      <c r="E90" s="146">
        <v>0.08</v>
      </c>
    </row>
    <row r="91">
      <c r="A91" s="143">
        <v>90.0</v>
      </c>
      <c r="B91" s="144" t="s">
        <v>109</v>
      </c>
      <c r="C91" s="144" t="s">
        <v>140</v>
      </c>
      <c r="D91" s="144" t="s">
        <v>146</v>
      </c>
      <c r="E91" s="146">
        <v>0.08</v>
      </c>
    </row>
    <row r="92">
      <c r="A92" s="143">
        <v>91.0</v>
      </c>
      <c r="B92" s="144" t="s">
        <v>109</v>
      </c>
      <c r="C92" s="144" t="s">
        <v>140</v>
      </c>
      <c r="D92" s="144" t="s">
        <v>147</v>
      </c>
      <c r="E92" s="146">
        <v>0.08</v>
      </c>
    </row>
    <row r="93">
      <c r="A93" s="143">
        <v>92.0</v>
      </c>
      <c r="B93" s="144" t="s">
        <v>109</v>
      </c>
      <c r="C93" s="144" t="s">
        <v>140</v>
      </c>
      <c r="D93" s="144" t="s">
        <v>148</v>
      </c>
      <c r="E93" s="146">
        <v>0.08</v>
      </c>
    </row>
    <row r="94">
      <c r="A94" s="143">
        <v>93.0</v>
      </c>
      <c r="B94" s="144" t="s">
        <v>109</v>
      </c>
      <c r="C94" s="144" t="s">
        <v>149</v>
      </c>
      <c r="D94" s="144" t="s">
        <v>150</v>
      </c>
      <c r="E94" s="146">
        <v>0.1</v>
      </c>
    </row>
    <row r="95">
      <c r="A95" s="143">
        <v>94.0</v>
      </c>
      <c r="B95" s="144" t="s">
        <v>109</v>
      </c>
      <c r="C95" s="144" t="s">
        <v>149</v>
      </c>
      <c r="D95" s="144" t="s">
        <v>151</v>
      </c>
      <c r="E95" s="146">
        <v>0.1</v>
      </c>
    </row>
    <row r="96">
      <c r="A96" s="143">
        <v>95.0</v>
      </c>
      <c r="B96" s="144" t="s">
        <v>109</v>
      </c>
      <c r="C96" s="144" t="s">
        <v>149</v>
      </c>
      <c r="D96" s="144" t="s">
        <v>62</v>
      </c>
      <c r="E96" s="146">
        <v>0.1</v>
      </c>
    </row>
    <row r="97">
      <c r="A97" s="143">
        <v>96.0</v>
      </c>
      <c r="B97" s="144" t="s">
        <v>109</v>
      </c>
      <c r="C97" s="144" t="s">
        <v>149</v>
      </c>
      <c r="D97" s="144" t="s">
        <v>152</v>
      </c>
      <c r="E97" s="146">
        <v>0.1</v>
      </c>
    </row>
    <row r="98">
      <c r="A98" s="143">
        <v>97.0</v>
      </c>
      <c r="B98" s="144" t="s">
        <v>109</v>
      </c>
      <c r="C98" s="144" t="s">
        <v>149</v>
      </c>
      <c r="D98" s="144" t="s">
        <v>153</v>
      </c>
      <c r="E98" s="146">
        <v>0.1</v>
      </c>
    </row>
    <row r="99">
      <c r="A99" s="143">
        <v>98.0</v>
      </c>
      <c r="B99" s="144" t="s">
        <v>109</v>
      </c>
      <c r="C99" s="144" t="s">
        <v>154</v>
      </c>
      <c r="D99" s="145"/>
      <c r="E99" s="146">
        <v>0.1</v>
      </c>
    </row>
    <row r="100">
      <c r="A100" s="143">
        <v>99.0</v>
      </c>
      <c r="B100" s="144" t="s">
        <v>109</v>
      </c>
      <c r="C100" s="144" t="s">
        <v>155</v>
      </c>
      <c r="D100" s="144" t="s">
        <v>156</v>
      </c>
      <c r="E100" s="146">
        <v>0.08</v>
      </c>
    </row>
    <row r="101">
      <c r="A101" s="143">
        <v>100.0</v>
      </c>
      <c r="B101" s="144" t="s">
        <v>109</v>
      </c>
      <c r="C101" s="144" t="s">
        <v>155</v>
      </c>
      <c r="D101" s="144" t="s">
        <v>157</v>
      </c>
      <c r="E101" s="146">
        <v>0.08</v>
      </c>
    </row>
    <row r="102">
      <c r="A102" s="143">
        <v>101.0</v>
      </c>
      <c r="B102" s="144" t="s">
        <v>109</v>
      </c>
      <c r="C102" s="144" t="s">
        <v>155</v>
      </c>
      <c r="D102" s="144" t="s">
        <v>158</v>
      </c>
      <c r="E102" s="146">
        <v>0.08</v>
      </c>
    </row>
    <row r="103">
      <c r="A103" s="143">
        <v>102.0</v>
      </c>
      <c r="B103" s="144" t="s">
        <v>109</v>
      </c>
      <c r="C103" s="144" t="s">
        <v>155</v>
      </c>
      <c r="D103" s="144" t="s">
        <v>159</v>
      </c>
      <c r="E103" s="146">
        <v>0.08</v>
      </c>
    </row>
    <row r="104">
      <c r="A104" s="143">
        <v>103.0</v>
      </c>
      <c r="B104" s="144" t="s">
        <v>109</v>
      </c>
      <c r="C104" s="144" t="s">
        <v>155</v>
      </c>
      <c r="D104" s="144" t="s">
        <v>160</v>
      </c>
      <c r="E104" s="146">
        <v>0.08</v>
      </c>
    </row>
    <row r="105">
      <c r="A105" s="143">
        <v>104.0</v>
      </c>
      <c r="B105" s="144" t="s">
        <v>109</v>
      </c>
      <c r="C105" s="144" t="s">
        <v>155</v>
      </c>
      <c r="D105" s="144" t="s">
        <v>161</v>
      </c>
      <c r="E105" s="146">
        <v>0.08</v>
      </c>
    </row>
    <row r="106">
      <c r="A106" s="143">
        <v>105.0</v>
      </c>
      <c r="B106" s="144" t="s">
        <v>109</v>
      </c>
      <c r="C106" s="144" t="s">
        <v>155</v>
      </c>
      <c r="D106" s="144" t="s">
        <v>162</v>
      </c>
      <c r="E106" s="146">
        <v>0.08</v>
      </c>
    </row>
    <row r="107">
      <c r="A107" s="143">
        <v>106.0</v>
      </c>
      <c r="B107" s="144" t="s">
        <v>109</v>
      </c>
      <c r="C107" s="144" t="s">
        <v>155</v>
      </c>
      <c r="D107" s="144" t="s">
        <v>62</v>
      </c>
      <c r="E107" s="146">
        <v>0.08</v>
      </c>
    </row>
    <row r="108">
      <c r="A108" s="143">
        <v>107.0</v>
      </c>
      <c r="B108" s="144" t="s">
        <v>109</v>
      </c>
      <c r="C108" s="144" t="s">
        <v>155</v>
      </c>
      <c r="D108" s="144" t="s">
        <v>163</v>
      </c>
      <c r="E108" s="146">
        <v>0.08</v>
      </c>
    </row>
    <row r="109">
      <c r="A109" s="143">
        <v>108.0</v>
      </c>
      <c r="B109" s="144" t="s">
        <v>109</v>
      </c>
      <c r="C109" s="144" t="s">
        <v>155</v>
      </c>
      <c r="D109" s="144" t="s">
        <v>164</v>
      </c>
      <c r="E109" s="146">
        <v>0.08</v>
      </c>
    </row>
    <row r="110">
      <c r="A110" s="143">
        <v>109.0</v>
      </c>
      <c r="B110" s="144" t="s">
        <v>109</v>
      </c>
      <c r="C110" s="144" t="s">
        <v>155</v>
      </c>
      <c r="D110" s="144" t="s">
        <v>165</v>
      </c>
      <c r="E110" s="146">
        <v>0.08</v>
      </c>
    </row>
    <row r="111">
      <c r="A111" s="143">
        <v>110.0</v>
      </c>
      <c r="B111" s="144" t="s">
        <v>109</v>
      </c>
      <c r="C111" s="144" t="s">
        <v>166</v>
      </c>
      <c r="D111" s="144" t="s">
        <v>167</v>
      </c>
      <c r="E111" s="146">
        <v>0.08</v>
      </c>
    </row>
    <row r="112">
      <c r="A112" s="143">
        <v>111.0</v>
      </c>
      <c r="B112" s="144" t="s">
        <v>109</v>
      </c>
      <c r="C112" s="144" t="s">
        <v>166</v>
      </c>
      <c r="D112" s="144" t="s">
        <v>168</v>
      </c>
      <c r="E112" s="146">
        <v>0.08</v>
      </c>
    </row>
    <row r="113">
      <c r="A113" s="143">
        <v>112.0</v>
      </c>
      <c r="B113" s="144" t="s">
        <v>109</v>
      </c>
      <c r="C113" s="144" t="s">
        <v>166</v>
      </c>
      <c r="D113" s="144" t="s">
        <v>62</v>
      </c>
      <c r="E113" s="146">
        <v>0.08</v>
      </c>
    </row>
    <row r="114">
      <c r="A114" s="143">
        <v>113.0</v>
      </c>
      <c r="B114" s="144" t="s">
        <v>109</v>
      </c>
      <c r="C114" s="144" t="s">
        <v>166</v>
      </c>
      <c r="D114" s="144" t="s">
        <v>169</v>
      </c>
      <c r="E114" s="146">
        <v>0.08</v>
      </c>
    </row>
    <row r="115">
      <c r="A115" s="143">
        <v>114.0</v>
      </c>
      <c r="B115" s="144" t="s">
        <v>109</v>
      </c>
      <c r="C115" s="144" t="s">
        <v>166</v>
      </c>
      <c r="D115" s="144" t="s">
        <v>170</v>
      </c>
      <c r="E115" s="146">
        <v>0.08</v>
      </c>
    </row>
    <row r="116">
      <c r="A116" s="143">
        <v>115.0</v>
      </c>
      <c r="B116" s="144" t="s">
        <v>109</v>
      </c>
      <c r="C116" s="144" t="s">
        <v>171</v>
      </c>
      <c r="D116" s="145"/>
      <c r="E116" s="146">
        <v>0.1</v>
      </c>
    </row>
    <row r="117">
      <c r="A117" s="143">
        <v>116.0</v>
      </c>
      <c r="B117" s="144" t="s">
        <v>172</v>
      </c>
      <c r="C117" s="144" t="s">
        <v>173</v>
      </c>
      <c r="D117" s="145"/>
      <c r="E117" s="146">
        <v>0.1</v>
      </c>
    </row>
    <row r="118">
      <c r="A118" s="143">
        <v>117.0</v>
      </c>
      <c r="B118" s="144" t="s">
        <v>172</v>
      </c>
      <c r="C118" s="144" t="s">
        <v>174</v>
      </c>
      <c r="D118" s="144" t="s">
        <v>175</v>
      </c>
      <c r="E118" s="146">
        <v>0.075</v>
      </c>
    </row>
    <row r="119">
      <c r="A119" s="143">
        <v>118.0</v>
      </c>
      <c r="B119" s="144" t="s">
        <v>172</v>
      </c>
      <c r="C119" s="144" t="s">
        <v>174</v>
      </c>
      <c r="D119" s="144" t="s">
        <v>176</v>
      </c>
      <c r="E119" s="146">
        <v>0.075</v>
      </c>
    </row>
    <row r="120">
      <c r="A120" s="143">
        <v>119.0</v>
      </c>
      <c r="B120" s="144" t="s">
        <v>172</v>
      </c>
      <c r="C120" s="144" t="s">
        <v>174</v>
      </c>
      <c r="D120" s="144" t="s">
        <v>62</v>
      </c>
      <c r="E120" s="146">
        <v>0.075</v>
      </c>
    </row>
    <row r="121">
      <c r="A121" s="143">
        <v>120.0</v>
      </c>
      <c r="B121" s="144" t="s">
        <v>172</v>
      </c>
      <c r="C121" s="144" t="s">
        <v>174</v>
      </c>
      <c r="D121" s="144" t="s">
        <v>177</v>
      </c>
      <c r="E121" s="146">
        <v>0.075</v>
      </c>
    </row>
    <row r="122">
      <c r="A122" s="143">
        <v>121.0</v>
      </c>
      <c r="B122" s="144" t="s">
        <v>172</v>
      </c>
      <c r="C122" s="144" t="s">
        <v>174</v>
      </c>
      <c r="D122" s="144" t="s">
        <v>178</v>
      </c>
      <c r="E122" s="146">
        <v>0.075</v>
      </c>
    </row>
    <row r="123">
      <c r="A123" s="143">
        <v>122.0</v>
      </c>
      <c r="B123" s="144" t="s">
        <v>172</v>
      </c>
      <c r="C123" s="144" t="s">
        <v>174</v>
      </c>
      <c r="D123" s="144" t="s">
        <v>179</v>
      </c>
      <c r="E123" s="146">
        <v>0.075</v>
      </c>
    </row>
    <row r="124">
      <c r="A124" s="143">
        <v>123.0</v>
      </c>
      <c r="B124" s="144" t="s">
        <v>172</v>
      </c>
      <c r="C124" s="144" t="s">
        <v>174</v>
      </c>
      <c r="D124" s="144" t="s">
        <v>180</v>
      </c>
      <c r="E124" s="146">
        <v>0.075</v>
      </c>
    </row>
    <row r="125">
      <c r="A125" s="143">
        <v>124.0</v>
      </c>
      <c r="B125" s="144" t="s">
        <v>172</v>
      </c>
      <c r="C125" s="144" t="s">
        <v>174</v>
      </c>
      <c r="D125" s="144" t="s">
        <v>181</v>
      </c>
      <c r="E125" s="146">
        <v>0.075</v>
      </c>
    </row>
    <row r="126">
      <c r="A126" s="143">
        <v>125.0</v>
      </c>
      <c r="B126" s="144" t="s">
        <v>172</v>
      </c>
      <c r="C126" s="144" t="s">
        <v>174</v>
      </c>
      <c r="D126" s="144" t="s">
        <v>182</v>
      </c>
      <c r="E126" s="146">
        <v>0.075</v>
      </c>
    </row>
    <row r="127">
      <c r="A127" s="143">
        <v>126.0</v>
      </c>
      <c r="B127" s="144" t="s">
        <v>172</v>
      </c>
      <c r="C127" s="144" t="s">
        <v>62</v>
      </c>
      <c r="D127" s="145"/>
      <c r="E127" s="146">
        <v>0.1</v>
      </c>
    </row>
    <row r="128">
      <c r="A128" s="143">
        <v>127.0</v>
      </c>
      <c r="B128" s="144" t="s">
        <v>172</v>
      </c>
      <c r="C128" s="144" t="s">
        <v>183</v>
      </c>
      <c r="D128" s="144" t="s">
        <v>184</v>
      </c>
      <c r="E128" s="146">
        <v>0.1</v>
      </c>
    </row>
    <row r="129">
      <c r="A129" s="143">
        <v>128.0</v>
      </c>
      <c r="B129" s="144" t="s">
        <v>172</v>
      </c>
      <c r="C129" s="144" t="s">
        <v>183</v>
      </c>
      <c r="D129" s="144" t="s">
        <v>185</v>
      </c>
      <c r="E129" s="146">
        <v>0.1</v>
      </c>
    </row>
    <row r="130">
      <c r="A130" s="143">
        <v>129.0</v>
      </c>
      <c r="B130" s="144" t="s">
        <v>172</v>
      </c>
      <c r="C130" s="144" t="s">
        <v>183</v>
      </c>
      <c r="D130" s="144" t="s">
        <v>186</v>
      </c>
      <c r="E130" s="146">
        <v>0.1</v>
      </c>
    </row>
    <row r="131">
      <c r="A131" s="143">
        <v>130.0</v>
      </c>
      <c r="B131" s="144" t="s">
        <v>172</v>
      </c>
      <c r="C131" s="144" t="s">
        <v>183</v>
      </c>
      <c r="D131" s="144" t="s">
        <v>187</v>
      </c>
      <c r="E131" s="146">
        <v>0.1</v>
      </c>
    </row>
    <row r="132">
      <c r="A132" s="143">
        <v>131.0</v>
      </c>
      <c r="B132" s="144" t="s">
        <v>172</v>
      </c>
      <c r="C132" s="144" t="s">
        <v>183</v>
      </c>
      <c r="D132" s="144" t="s">
        <v>188</v>
      </c>
      <c r="E132" s="146">
        <v>0.1</v>
      </c>
    </row>
    <row r="133">
      <c r="A133" s="143">
        <v>132.0</v>
      </c>
      <c r="B133" s="144" t="s">
        <v>172</v>
      </c>
      <c r="C133" s="144" t="s">
        <v>183</v>
      </c>
      <c r="D133" s="144" t="s">
        <v>189</v>
      </c>
      <c r="E133" s="146">
        <v>0.1</v>
      </c>
    </row>
    <row r="134">
      <c r="A134" s="143">
        <v>133.0</v>
      </c>
      <c r="B134" s="144" t="s">
        <v>172</v>
      </c>
      <c r="C134" s="144" t="s">
        <v>183</v>
      </c>
      <c r="D134" s="144" t="s">
        <v>190</v>
      </c>
      <c r="E134" s="146">
        <v>0.1</v>
      </c>
    </row>
    <row r="135">
      <c r="A135" s="143">
        <v>134.0</v>
      </c>
      <c r="B135" s="144" t="s">
        <v>172</v>
      </c>
      <c r="C135" s="144" t="s">
        <v>183</v>
      </c>
      <c r="D135" s="144" t="s">
        <v>191</v>
      </c>
      <c r="E135" s="146">
        <v>0.1</v>
      </c>
    </row>
    <row r="136">
      <c r="A136" s="143">
        <v>135.0</v>
      </c>
      <c r="B136" s="144" t="s">
        <v>172</v>
      </c>
      <c r="C136" s="144" t="s">
        <v>183</v>
      </c>
      <c r="D136" s="144" t="s">
        <v>192</v>
      </c>
      <c r="E136" s="146">
        <v>0.1</v>
      </c>
    </row>
    <row r="137">
      <c r="A137" s="143">
        <v>136.0</v>
      </c>
      <c r="B137" s="144" t="s">
        <v>172</v>
      </c>
      <c r="C137" s="144" t="s">
        <v>183</v>
      </c>
      <c r="D137" s="144" t="s">
        <v>193</v>
      </c>
      <c r="E137" s="146">
        <v>0.1</v>
      </c>
    </row>
    <row r="138">
      <c r="A138" s="143">
        <v>137.0</v>
      </c>
      <c r="B138" s="144" t="s">
        <v>194</v>
      </c>
      <c r="C138" s="144" t="s">
        <v>195</v>
      </c>
      <c r="D138" s="145"/>
      <c r="E138" s="146">
        <v>0.1</v>
      </c>
    </row>
    <row r="139">
      <c r="A139" s="143">
        <v>138.0</v>
      </c>
      <c r="B139" s="144" t="s">
        <v>194</v>
      </c>
      <c r="C139" s="144" t="s">
        <v>197</v>
      </c>
      <c r="D139" s="144" t="s">
        <v>198</v>
      </c>
      <c r="E139" s="146">
        <v>0.1</v>
      </c>
    </row>
    <row r="140">
      <c r="A140" s="143">
        <v>139.0</v>
      </c>
      <c r="B140" s="144" t="s">
        <v>194</v>
      </c>
      <c r="C140" s="144" t="s">
        <v>197</v>
      </c>
      <c r="D140" s="144" t="s">
        <v>199</v>
      </c>
      <c r="E140" s="146">
        <v>0.1</v>
      </c>
    </row>
    <row r="141">
      <c r="A141" s="143">
        <v>140.0</v>
      </c>
      <c r="B141" s="144" t="s">
        <v>194</v>
      </c>
      <c r="C141" s="144" t="s">
        <v>197</v>
      </c>
      <c r="D141" s="144" t="s">
        <v>200</v>
      </c>
      <c r="E141" s="146">
        <v>0.1</v>
      </c>
    </row>
    <row r="142">
      <c r="A142" s="143">
        <v>141.0</v>
      </c>
      <c r="B142" s="144" t="s">
        <v>194</v>
      </c>
      <c r="C142" s="144" t="s">
        <v>197</v>
      </c>
      <c r="D142" s="144" t="s">
        <v>201</v>
      </c>
      <c r="E142" s="146">
        <v>0.1</v>
      </c>
    </row>
    <row r="143">
      <c r="A143" s="143">
        <v>142.0</v>
      </c>
      <c r="B143" s="144" t="s">
        <v>194</v>
      </c>
      <c r="C143" s="144" t="s">
        <v>197</v>
      </c>
      <c r="D143" s="144" t="s">
        <v>202</v>
      </c>
      <c r="E143" s="146">
        <v>0.1</v>
      </c>
    </row>
    <row r="144">
      <c r="A144" s="143">
        <v>143.0</v>
      </c>
      <c r="B144" s="144" t="s">
        <v>194</v>
      </c>
      <c r="C144" s="144" t="s">
        <v>197</v>
      </c>
      <c r="D144" s="144" t="s">
        <v>203</v>
      </c>
      <c r="E144" s="146">
        <v>0.1</v>
      </c>
    </row>
    <row r="145">
      <c r="A145" s="143">
        <v>144.0</v>
      </c>
      <c r="B145" s="144" t="s">
        <v>194</v>
      </c>
      <c r="C145" s="144" t="s">
        <v>197</v>
      </c>
      <c r="D145" s="144" t="s">
        <v>62</v>
      </c>
      <c r="E145" s="146">
        <v>0.1</v>
      </c>
    </row>
    <row r="146">
      <c r="A146" s="143">
        <v>145.0</v>
      </c>
      <c r="B146" s="144" t="s">
        <v>194</v>
      </c>
      <c r="C146" s="144" t="s">
        <v>197</v>
      </c>
      <c r="D146" s="144" t="s">
        <v>204</v>
      </c>
      <c r="E146" s="146">
        <v>0.1</v>
      </c>
    </row>
    <row r="147">
      <c r="A147" s="143">
        <v>146.0</v>
      </c>
      <c r="B147" s="144" t="s">
        <v>194</v>
      </c>
      <c r="C147" s="144" t="s">
        <v>205</v>
      </c>
      <c r="D147" s="144" t="s">
        <v>206</v>
      </c>
      <c r="E147" s="146">
        <v>0.1</v>
      </c>
    </row>
    <row r="148">
      <c r="A148" s="143">
        <v>147.0</v>
      </c>
      <c r="B148" s="144" t="s">
        <v>194</v>
      </c>
      <c r="C148" s="144" t="s">
        <v>205</v>
      </c>
      <c r="D148" s="144" t="s">
        <v>207</v>
      </c>
      <c r="E148" s="146">
        <v>0.1</v>
      </c>
    </row>
    <row r="149">
      <c r="A149" s="143">
        <v>148.0</v>
      </c>
      <c r="B149" s="144" t="s">
        <v>194</v>
      </c>
      <c r="C149" s="144" t="s">
        <v>205</v>
      </c>
      <c r="D149" s="144" t="s">
        <v>208</v>
      </c>
      <c r="E149" s="146">
        <v>0.1</v>
      </c>
    </row>
    <row r="150">
      <c r="A150" s="143">
        <v>149.0</v>
      </c>
      <c r="B150" s="144" t="s">
        <v>194</v>
      </c>
      <c r="C150" s="144" t="s">
        <v>205</v>
      </c>
      <c r="D150" s="144" t="s">
        <v>209</v>
      </c>
      <c r="E150" s="146">
        <v>0.08</v>
      </c>
    </row>
    <row r="151">
      <c r="A151" s="143">
        <v>150.0</v>
      </c>
      <c r="B151" s="144" t="s">
        <v>194</v>
      </c>
      <c r="C151" s="144" t="s">
        <v>205</v>
      </c>
      <c r="D151" s="144" t="s">
        <v>210</v>
      </c>
      <c r="E151" s="146">
        <v>0.1</v>
      </c>
    </row>
    <row r="152">
      <c r="A152" s="143">
        <v>151.0</v>
      </c>
      <c r="B152" s="144" t="s">
        <v>194</v>
      </c>
      <c r="C152" s="144" t="s">
        <v>205</v>
      </c>
      <c r="D152" s="144" t="s">
        <v>211</v>
      </c>
      <c r="E152" s="146">
        <v>0.08</v>
      </c>
    </row>
    <row r="153">
      <c r="A153" s="143">
        <v>152.0</v>
      </c>
      <c r="B153" s="144" t="s">
        <v>194</v>
      </c>
      <c r="C153" s="144" t="s">
        <v>205</v>
      </c>
      <c r="D153" s="144" t="s">
        <v>212</v>
      </c>
      <c r="E153" s="146">
        <v>0.09</v>
      </c>
    </row>
    <row r="154">
      <c r="A154" s="143">
        <v>153.0</v>
      </c>
      <c r="B154" s="144" t="s">
        <v>194</v>
      </c>
      <c r="C154" s="144" t="s">
        <v>205</v>
      </c>
      <c r="D154" s="144" t="s">
        <v>213</v>
      </c>
      <c r="E154" s="146">
        <v>0.1</v>
      </c>
    </row>
    <row r="155">
      <c r="A155" s="143">
        <v>154.0</v>
      </c>
      <c r="B155" s="144" t="s">
        <v>194</v>
      </c>
      <c r="C155" s="144" t="s">
        <v>205</v>
      </c>
      <c r="D155" s="144" t="s">
        <v>214</v>
      </c>
      <c r="E155" s="146">
        <v>0.1</v>
      </c>
    </row>
    <row r="156">
      <c r="A156" s="143">
        <v>155.0</v>
      </c>
      <c r="B156" s="144" t="s">
        <v>194</v>
      </c>
      <c r="C156" s="144" t="s">
        <v>205</v>
      </c>
      <c r="D156" s="144" t="s">
        <v>215</v>
      </c>
      <c r="E156" s="146">
        <v>0.1</v>
      </c>
    </row>
    <row r="157">
      <c r="A157" s="143">
        <v>156.0</v>
      </c>
      <c r="B157" s="144" t="s">
        <v>194</v>
      </c>
      <c r="C157" s="144" t="s">
        <v>205</v>
      </c>
      <c r="D157" s="144" t="s">
        <v>216</v>
      </c>
      <c r="E157" s="146">
        <v>0.1</v>
      </c>
    </row>
    <row r="158">
      <c r="A158" s="143">
        <v>157.0</v>
      </c>
      <c r="B158" s="144" t="s">
        <v>194</v>
      </c>
      <c r="C158" s="144" t="s">
        <v>205</v>
      </c>
      <c r="D158" s="144" t="s">
        <v>217</v>
      </c>
      <c r="E158" s="146">
        <v>0.1</v>
      </c>
    </row>
    <row r="159">
      <c r="A159" s="143">
        <v>158.0</v>
      </c>
      <c r="B159" s="144" t="s">
        <v>194</v>
      </c>
      <c r="C159" s="144" t="s">
        <v>205</v>
      </c>
      <c r="D159" s="144" t="s">
        <v>62</v>
      </c>
      <c r="E159" s="146">
        <v>0.1</v>
      </c>
    </row>
    <row r="160">
      <c r="A160" s="143">
        <v>159.0</v>
      </c>
      <c r="B160" s="144" t="s">
        <v>194</v>
      </c>
      <c r="C160" s="144" t="s">
        <v>205</v>
      </c>
      <c r="D160" s="144" t="s">
        <v>218</v>
      </c>
      <c r="E160" s="146">
        <v>0.1</v>
      </c>
    </row>
    <row r="161">
      <c r="A161" s="143">
        <v>160.0</v>
      </c>
      <c r="B161" s="144" t="s">
        <v>194</v>
      </c>
      <c r="C161" s="144" t="s">
        <v>205</v>
      </c>
      <c r="D161" s="144" t="s">
        <v>219</v>
      </c>
      <c r="E161" s="146">
        <v>0.1</v>
      </c>
    </row>
    <row r="162">
      <c r="A162" s="143">
        <v>161.0</v>
      </c>
      <c r="B162" s="144" t="s">
        <v>194</v>
      </c>
      <c r="C162" s="144" t="s">
        <v>205</v>
      </c>
      <c r="D162" s="144" t="s">
        <v>220</v>
      </c>
      <c r="E162" s="146">
        <v>0.08</v>
      </c>
    </row>
    <row r="163">
      <c r="A163" s="143">
        <v>162.0</v>
      </c>
      <c r="B163" s="144" t="s">
        <v>194</v>
      </c>
      <c r="C163" s="144" t="s">
        <v>205</v>
      </c>
      <c r="D163" s="144" t="s">
        <v>221</v>
      </c>
      <c r="E163" s="146">
        <v>0.1</v>
      </c>
    </row>
    <row r="164">
      <c r="A164" s="143">
        <v>163.0</v>
      </c>
      <c r="B164" s="144" t="s">
        <v>194</v>
      </c>
      <c r="C164" s="144" t="s">
        <v>205</v>
      </c>
      <c r="D164" s="144" t="s">
        <v>222</v>
      </c>
      <c r="E164" s="146">
        <v>0.1</v>
      </c>
    </row>
    <row r="165">
      <c r="A165" s="143">
        <v>164.0</v>
      </c>
      <c r="B165" s="144" t="s">
        <v>194</v>
      </c>
      <c r="C165" s="144" t="s">
        <v>205</v>
      </c>
      <c r="D165" s="144" t="s">
        <v>223</v>
      </c>
      <c r="E165" s="146">
        <v>0.1</v>
      </c>
    </row>
    <row r="166">
      <c r="A166" s="143">
        <v>165.0</v>
      </c>
      <c r="B166" s="144" t="s">
        <v>194</v>
      </c>
      <c r="C166" s="144" t="s">
        <v>205</v>
      </c>
      <c r="D166" s="144" t="s">
        <v>224</v>
      </c>
      <c r="E166" s="146">
        <v>0.1</v>
      </c>
    </row>
    <row r="167">
      <c r="A167" s="143">
        <v>166.0</v>
      </c>
      <c r="B167" s="144" t="s">
        <v>194</v>
      </c>
      <c r="C167" s="144" t="s">
        <v>205</v>
      </c>
      <c r="D167" s="144" t="s">
        <v>225</v>
      </c>
      <c r="E167" s="146">
        <v>0.1</v>
      </c>
    </row>
    <row r="168">
      <c r="A168" s="143">
        <v>167.0</v>
      </c>
      <c r="B168" s="144" t="s">
        <v>194</v>
      </c>
      <c r="C168" s="144" t="s">
        <v>205</v>
      </c>
      <c r="D168" s="144" t="s">
        <v>226</v>
      </c>
      <c r="E168" s="146">
        <v>0.1</v>
      </c>
    </row>
    <row r="169">
      <c r="A169" s="143">
        <v>168.0</v>
      </c>
      <c r="B169" s="144" t="s">
        <v>194</v>
      </c>
      <c r="C169" s="144" t="s">
        <v>205</v>
      </c>
      <c r="D169" s="144" t="s">
        <v>227</v>
      </c>
      <c r="E169" s="146">
        <v>0.1</v>
      </c>
    </row>
    <row r="170">
      <c r="A170" s="143">
        <v>169.0</v>
      </c>
      <c r="B170" s="144" t="s">
        <v>194</v>
      </c>
      <c r="C170" s="144" t="s">
        <v>228</v>
      </c>
      <c r="D170" s="144" t="s">
        <v>229</v>
      </c>
      <c r="E170" s="146">
        <v>0.075</v>
      </c>
    </row>
    <row r="171">
      <c r="A171" s="143">
        <v>170.0</v>
      </c>
      <c r="B171" s="144" t="s">
        <v>194</v>
      </c>
      <c r="C171" s="144" t="s">
        <v>228</v>
      </c>
      <c r="D171" s="144" t="s">
        <v>230</v>
      </c>
      <c r="E171" s="146">
        <v>0.08</v>
      </c>
    </row>
    <row r="172">
      <c r="A172" s="143">
        <v>171.0</v>
      </c>
      <c r="B172" s="144" t="s">
        <v>194</v>
      </c>
      <c r="C172" s="144" t="s">
        <v>228</v>
      </c>
      <c r="D172" s="144" t="s">
        <v>231</v>
      </c>
      <c r="E172" s="146">
        <v>0.08</v>
      </c>
    </row>
    <row r="173">
      <c r="A173" s="143">
        <v>172.0</v>
      </c>
      <c r="B173" s="144" t="s">
        <v>194</v>
      </c>
      <c r="C173" s="144" t="s">
        <v>228</v>
      </c>
      <c r="D173" s="144" t="s">
        <v>62</v>
      </c>
      <c r="E173" s="146">
        <v>0.08</v>
      </c>
    </row>
    <row r="174">
      <c r="A174" s="143">
        <v>173.0</v>
      </c>
      <c r="B174" s="144" t="s">
        <v>194</v>
      </c>
      <c r="C174" s="144" t="s">
        <v>228</v>
      </c>
      <c r="D174" s="144" t="s">
        <v>232</v>
      </c>
      <c r="E174" s="146">
        <v>0.075</v>
      </c>
    </row>
    <row r="175">
      <c r="A175" s="143">
        <v>174.0</v>
      </c>
      <c r="B175" s="144" t="s">
        <v>194</v>
      </c>
      <c r="C175" s="144" t="s">
        <v>228</v>
      </c>
      <c r="D175" s="144" t="s">
        <v>233</v>
      </c>
      <c r="E175" s="146">
        <v>0.08</v>
      </c>
    </row>
    <row r="176">
      <c r="A176" s="143">
        <v>175.0</v>
      </c>
      <c r="B176" s="144" t="s">
        <v>194</v>
      </c>
      <c r="C176" s="144" t="s">
        <v>62</v>
      </c>
      <c r="D176" s="145"/>
      <c r="E176" s="146">
        <v>0.1</v>
      </c>
    </row>
    <row r="177">
      <c r="A177" s="143">
        <v>176.0</v>
      </c>
      <c r="B177" s="144" t="s">
        <v>194</v>
      </c>
      <c r="C177" s="144" t="s">
        <v>234</v>
      </c>
      <c r="D177" s="144" t="s">
        <v>62</v>
      </c>
      <c r="E177" s="146">
        <v>0.1</v>
      </c>
    </row>
    <row r="178">
      <c r="A178" s="143">
        <v>177.0</v>
      </c>
      <c r="B178" s="144" t="s">
        <v>194</v>
      </c>
      <c r="C178" s="144" t="s">
        <v>234</v>
      </c>
      <c r="D178" s="144" t="s">
        <v>235</v>
      </c>
      <c r="E178" s="146">
        <v>0.1</v>
      </c>
    </row>
    <row r="179">
      <c r="A179" s="143">
        <v>178.0</v>
      </c>
      <c r="B179" s="144" t="s">
        <v>194</v>
      </c>
      <c r="C179" s="144" t="s">
        <v>234</v>
      </c>
      <c r="D179" s="144" t="s">
        <v>236</v>
      </c>
      <c r="E179" s="146">
        <v>0.1</v>
      </c>
    </row>
    <row r="180">
      <c r="A180" s="143">
        <v>179.0</v>
      </c>
      <c r="B180" s="144" t="s">
        <v>194</v>
      </c>
      <c r="C180" s="144" t="s">
        <v>237</v>
      </c>
      <c r="D180" s="145"/>
      <c r="E180" s="146">
        <v>0.1</v>
      </c>
    </row>
    <row r="181">
      <c r="A181" s="143">
        <v>180.0</v>
      </c>
      <c r="B181" s="144" t="s">
        <v>194</v>
      </c>
      <c r="C181" s="144" t="s">
        <v>238</v>
      </c>
      <c r="D181" s="144" t="s">
        <v>239</v>
      </c>
      <c r="E181" s="146">
        <v>0.08</v>
      </c>
    </row>
    <row r="182">
      <c r="A182" s="143">
        <v>181.0</v>
      </c>
      <c r="B182" s="144" t="s">
        <v>194</v>
      </c>
      <c r="C182" s="144" t="s">
        <v>238</v>
      </c>
      <c r="D182" s="144" t="s">
        <v>240</v>
      </c>
      <c r="E182" s="146">
        <v>0.08</v>
      </c>
    </row>
    <row r="183">
      <c r="A183" s="143">
        <v>182.0</v>
      </c>
      <c r="B183" s="144" t="s">
        <v>194</v>
      </c>
      <c r="C183" s="144" t="s">
        <v>238</v>
      </c>
      <c r="D183" s="144" t="s">
        <v>241</v>
      </c>
      <c r="E183" s="146">
        <v>0.08</v>
      </c>
    </row>
    <row r="184">
      <c r="A184" s="143">
        <v>183.0</v>
      </c>
      <c r="B184" s="144" t="s">
        <v>194</v>
      </c>
      <c r="C184" s="144" t="s">
        <v>238</v>
      </c>
      <c r="D184" s="144" t="s">
        <v>62</v>
      </c>
      <c r="E184" s="146">
        <v>0.08</v>
      </c>
    </row>
    <row r="185">
      <c r="A185" s="143">
        <v>184.0</v>
      </c>
      <c r="B185" s="144" t="s">
        <v>194</v>
      </c>
      <c r="C185" s="144" t="s">
        <v>238</v>
      </c>
      <c r="D185" s="144" t="s">
        <v>242</v>
      </c>
      <c r="E185" s="146">
        <v>0.08</v>
      </c>
    </row>
    <row r="186">
      <c r="A186" s="143">
        <v>185.0</v>
      </c>
      <c r="B186" s="144" t="s">
        <v>194</v>
      </c>
      <c r="C186" s="144" t="s">
        <v>238</v>
      </c>
      <c r="D186" s="144" t="s">
        <v>243</v>
      </c>
      <c r="E186" s="146">
        <v>0.08</v>
      </c>
    </row>
    <row r="187">
      <c r="A187" s="143">
        <v>186.0</v>
      </c>
      <c r="B187" s="144" t="s">
        <v>194</v>
      </c>
      <c r="C187" s="144" t="s">
        <v>238</v>
      </c>
      <c r="D187" s="144" t="s">
        <v>244</v>
      </c>
      <c r="E187" s="146">
        <v>0.08</v>
      </c>
    </row>
    <row r="188">
      <c r="A188" s="143">
        <v>187.0</v>
      </c>
      <c r="B188" s="144" t="s">
        <v>194</v>
      </c>
      <c r="C188" s="144" t="s">
        <v>238</v>
      </c>
      <c r="D188" s="144" t="s">
        <v>245</v>
      </c>
      <c r="E188" s="146">
        <v>0.08</v>
      </c>
    </row>
    <row r="189">
      <c r="A189" s="143">
        <v>188.0</v>
      </c>
      <c r="B189" s="144" t="s">
        <v>194</v>
      </c>
      <c r="C189" s="144" t="s">
        <v>246</v>
      </c>
      <c r="D189" s="144" t="s">
        <v>62</v>
      </c>
      <c r="E189" s="146">
        <v>0.08</v>
      </c>
    </row>
    <row r="190">
      <c r="A190" s="143">
        <v>189.0</v>
      </c>
      <c r="B190" s="144" t="s">
        <v>194</v>
      </c>
      <c r="C190" s="144" t="s">
        <v>246</v>
      </c>
      <c r="D190" s="144" t="s">
        <v>247</v>
      </c>
      <c r="E190" s="146">
        <v>0.08</v>
      </c>
    </row>
    <row r="191">
      <c r="A191" s="143">
        <v>190.0</v>
      </c>
      <c r="B191" s="144" t="s">
        <v>194</v>
      </c>
      <c r="C191" s="144" t="s">
        <v>246</v>
      </c>
      <c r="D191" s="144" t="s">
        <v>248</v>
      </c>
      <c r="E191" s="146">
        <v>0.08</v>
      </c>
    </row>
    <row r="192">
      <c r="A192" s="143">
        <v>191.0</v>
      </c>
      <c r="B192" s="144" t="s">
        <v>194</v>
      </c>
      <c r="C192" s="144" t="s">
        <v>246</v>
      </c>
      <c r="D192" s="144" t="s">
        <v>249</v>
      </c>
      <c r="E192" s="146">
        <v>0.08</v>
      </c>
    </row>
    <row r="193">
      <c r="A193" s="143">
        <v>192.0</v>
      </c>
      <c r="B193" s="144" t="s">
        <v>194</v>
      </c>
      <c r="C193" s="144" t="s">
        <v>246</v>
      </c>
      <c r="D193" s="144" t="s">
        <v>250</v>
      </c>
      <c r="E193" s="146">
        <v>0.075</v>
      </c>
    </row>
    <row r="194">
      <c r="A194" s="143">
        <v>193.0</v>
      </c>
      <c r="B194" s="144" t="s">
        <v>7</v>
      </c>
      <c r="C194" s="144" t="s">
        <v>9</v>
      </c>
      <c r="D194" s="144" t="s">
        <v>251</v>
      </c>
      <c r="E194" s="146">
        <v>0.12</v>
      </c>
    </row>
    <row r="195">
      <c r="A195" s="143">
        <v>194.0</v>
      </c>
      <c r="B195" s="144" t="s">
        <v>7</v>
      </c>
      <c r="C195" s="144" t="s">
        <v>9</v>
      </c>
      <c r="D195" s="144" t="s">
        <v>252</v>
      </c>
      <c r="E195" s="146">
        <v>0.12</v>
      </c>
    </row>
    <row r="196">
      <c r="A196" s="143">
        <v>195.0</v>
      </c>
      <c r="B196" s="144" t="s">
        <v>7</v>
      </c>
      <c r="C196" s="144" t="s">
        <v>9</v>
      </c>
      <c r="D196" s="144" t="s">
        <v>253</v>
      </c>
      <c r="E196" s="146">
        <v>0.1</v>
      </c>
    </row>
    <row r="197">
      <c r="A197" s="143">
        <v>196.0</v>
      </c>
      <c r="B197" s="144" t="s">
        <v>7</v>
      </c>
      <c r="C197" s="144" t="s">
        <v>9</v>
      </c>
      <c r="D197" s="144" t="s">
        <v>254</v>
      </c>
      <c r="E197" s="146">
        <v>0.1</v>
      </c>
    </row>
    <row r="198">
      <c r="A198" s="143">
        <v>197.0</v>
      </c>
      <c r="B198" s="144" t="s">
        <v>7</v>
      </c>
      <c r="C198" s="144" t="s">
        <v>9</v>
      </c>
      <c r="D198" s="144" t="s">
        <v>255</v>
      </c>
      <c r="E198" s="146">
        <v>0.12</v>
      </c>
    </row>
    <row r="199">
      <c r="A199" s="143">
        <v>198.0</v>
      </c>
      <c r="B199" s="144" t="s">
        <v>7</v>
      </c>
      <c r="C199" s="144" t="s">
        <v>9</v>
      </c>
      <c r="D199" s="144" t="s">
        <v>256</v>
      </c>
      <c r="E199" s="146">
        <v>0.12</v>
      </c>
    </row>
    <row r="200">
      <c r="A200" s="143">
        <v>199.0</v>
      </c>
      <c r="B200" s="144" t="s">
        <v>7</v>
      </c>
      <c r="C200" s="144" t="s">
        <v>9</v>
      </c>
      <c r="D200" s="144" t="s">
        <v>257</v>
      </c>
      <c r="E200" s="146">
        <v>0.12</v>
      </c>
    </row>
    <row r="201">
      <c r="A201" s="143">
        <v>200.0</v>
      </c>
      <c r="B201" s="144" t="s">
        <v>7</v>
      </c>
      <c r="C201" s="144" t="s">
        <v>9</v>
      </c>
      <c r="D201" s="144" t="s">
        <v>62</v>
      </c>
      <c r="E201" s="146">
        <v>0.12</v>
      </c>
    </row>
    <row r="202">
      <c r="A202" s="143">
        <v>201.0</v>
      </c>
      <c r="B202" s="144" t="s">
        <v>7</v>
      </c>
      <c r="C202" s="144" t="s">
        <v>9</v>
      </c>
      <c r="D202" s="144" t="s">
        <v>258</v>
      </c>
      <c r="E202" s="146">
        <v>0.12</v>
      </c>
    </row>
    <row r="203">
      <c r="A203" s="143">
        <v>202.0</v>
      </c>
      <c r="B203" s="144" t="s">
        <v>7</v>
      </c>
      <c r="C203" s="144" t="s">
        <v>9</v>
      </c>
      <c r="D203" s="144" t="s">
        <v>259</v>
      </c>
      <c r="E203" s="146">
        <v>0.12</v>
      </c>
    </row>
    <row r="204">
      <c r="A204" s="143">
        <v>203.0</v>
      </c>
      <c r="B204" s="144" t="s">
        <v>7</v>
      </c>
      <c r="C204" s="144" t="s">
        <v>9</v>
      </c>
      <c r="D204" s="144" t="s">
        <v>260</v>
      </c>
      <c r="E204" s="146">
        <v>0.12</v>
      </c>
    </row>
    <row r="205">
      <c r="A205" s="143">
        <v>204.0</v>
      </c>
      <c r="B205" s="144" t="s">
        <v>7</v>
      </c>
      <c r="C205" s="144" t="s">
        <v>9</v>
      </c>
      <c r="D205" s="144" t="s">
        <v>261</v>
      </c>
      <c r="E205" s="146">
        <v>0.12</v>
      </c>
    </row>
    <row r="206">
      <c r="A206" s="143">
        <v>205.0</v>
      </c>
      <c r="B206" s="144" t="s">
        <v>7</v>
      </c>
      <c r="C206" s="144" t="s">
        <v>9</v>
      </c>
      <c r="D206" s="144" t="s">
        <v>262</v>
      </c>
      <c r="E206" s="146">
        <v>0.12</v>
      </c>
    </row>
    <row r="207">
      <c r="A207" s="143">
        <v>206.0</v>
      </c>
      <c r="B207" s="144" t="s">
        <v>7</v>
      </c>
      <c r="C207" s="144" t="s">
        <v>9</v>
      </c>
      <c r="D207" s="144" t="s">
        <v>263</v>
      </c>
      <c r="E207" s="146">
        <v>0.12</v>
      </c>
    </row>
    <row r="208">
      <c r="A208" s="143">
        <v>207.0</v>
      </c>
      <c r="B208" s="144" t="s">
        <v>7</v>
      </c>
      <c r="C208" s="144" t="s">
        <v>9</v>
      </c>
      <c r="D208" s="144" t="s">
        <v>264</v>
      </c>
      <c r="E208" s="146">
        <v>0.12</v>
      </c>
    </row>
    <row r="209">
      <c r="A209" s="143">
        <v>208.0</v>
      </c>
      <c r="B209" s="144" t="s">
        <v>7</v>
      </c>
      <c r="C209" s="144" t="s">
        <v>9</v>
      </c>
      <c r="D209" s="144" t="s">
        <v>265</v>
      </c>
      <c r="E209" s="146">
        <v>0.12</v>
      </c>
    </row>
    <row r="210">
      <c r="A210" s="143">
        <v>209.0</v>
      </c>
      <c r="B210" s="144" t="s">
        <v>7</v>
      </c>
      <c r="C210" s="144" t="s">
        <v>9</v>
      </c>
      <c r="D210" s="144" t="s">
        <v>266</v>
      </c>
      <c r="E210" s="146">
        <v>0.12</v>
      </c>
    </row>
    <row r="211">
      <c r="A211" s="143">
        <v>210.0</v>
      </c>
      <c r="B211" s="144" t="s">
        <v>7</v>
      </c>
      <c r="C211" s="144" t="s">
        <v>9</v>
      </c>
      <c r="D211" s="144" t="s">
        <v>267</v>
      </c>
      <c r="E211" s="146">
        <v>0.12</v>
      </c>
    </row>
    <row r="212">
      <c r="A212" s="143">
        <v>211.0</v>
      </c>
      <c r="B212" s="144" t="s">
        <v>7</v>
      </c>
      <c r="C212" s="144" t="s">
        <v>243</v>
      </c>
      <c r="D212" s="145"/>
      <c r="E212" s="146">
        <v>0.02</v>
      </c>
    </row>
    <row r="213">
      <c r="A213" s="143">
        <v>212.0</v>
      </c>
      <c r="B213" s="144" t="s">
        <v>7</v>
      </c>
      <c r="C213" s="144" t="s">
        <v>62</v>
      </c>
      <c r="D213" s="145"/>
      <c r="E213" s="146">
        <v>0.1</v>
      </c>
    </row>
    <row r="214">
      <c r="A214" s="143">
        <v>213.0</v>
      </c>
      <c r="B214" s="144" t="s">
        <v>7</v>
      </c>
      <c r="C214" s="144" t="s">
        <v>268</v>
      </c>
      <c r="D214" s="145"/>
      <c r="E214" s="146">
        <v>0.12</v>
      </c>
    </row>
    <row r="215">
      <c r="A215" s="143">
        <v>214.0</v>
      </c>
      <c r="B215" s="144" t="s">
        <v>7</v>
      </c>
      <c r="C215" s="144" t="s">
        <v>269</v>
      </c>
      <c r="D215" s="145"/>
      <c r="E215" s="146">
        <v>0.02</v>
      </c>
    </row>
    <row r="216">
      <c r="A216" s="143">
        <v>215.0</v>
      </c>
      <c r="B216" s="144" t="s">
        <v>7</v>
      </c>
      <c r="C216" s="144" t="s">
        <v>270</v>
      </c>
      <c r="D216" s="145"/>
      <c r="E216" s="146">
        <v>0.1</v>
      </c>
    </row>
    <row r="217">
      <c r="A217" s="143">
        <v>216.0</v>
      </c>
      <c r="B217" s="144" t="s">
        <v>7</v>
      </c>
      <c r="C217" s="144" t="s">
        <v>271</v>
      </c>
      <c r="D217" s="144" t="s">
        <v>272</v>
      </c>
      <c r="E217" s="146">
        <v>0.1</v>
      </c>
    </row>
    <row r="218">
      <c r="A218" s="143">
        <v>217.0</v>
      </c>
      <c r="B218" s="144" t="s">
        <v>7</v>
      </c>
      <c r="C218" s="144" t="s">
        <v>271</v>
      </c>
      <c r="D218" s="144" t="s">
        <v>62</v>
      </c>
      <c r="E218" s="146">
        <v>0.1</v>
      </c>
    </row>
    <row r="219">
      <c r="A219" s="143">
        <v>218.0</v>
      </c>
      <c r="B219" s="144" t="s">
        <v>7</v>
      </c>
      <c r="C219" s="144" t="s">
        <v>271</v>
      </c>
      <c r="D219" s="144" t="s">
        <v>273</v>
      </c>
      <c r="E219" s="146">
        <v>0.1</v>
      </c>
    </row>
    <row r="220">
      <c r="A220" s="143">
        <v>219.0</v>
      </c>
      <c r="B220" s="144" t="s">
        <v>7</v>
      </c>
      <c r="C220" s="144" t="s">
        <v>271</v>
      </c>
      <c r="D220" s="144" t="s">
        <v>274</v>
      </c>
      <c r="E220" s="146">
        <v>0.1</v>
      </c>
    </row>
    <row r="221">
      <c r="A221" s="143">
        <v>220.0</v>
      </c>
      <c r="B221" s="144" t="s">
        <v>275</v>
      </c>
      <c r="C221" s="144" t="s">
        <v>276</v>
      </c>
      <c r="D221" s="144" t="s">
        <v>277</v>
      </c>
      <c r="E221" s="146">
        <v>0.11</v>
      </c>
    </row>
    <row r="222">
      <c r="A222" s="143">
        <v>221.0</v>
      </c>
      <c r="B222" s="144" t="s">
        <v>275</v>
      </c>
      <c r="C222" s="144" t="s">
        <v>276</v>
      </c>
      <c r="D222" s="144" t="s">
        <v>278</v>
      </c>
      <c r="E222" s="146">
        <v>0.11</v>
      </c>
    </row>
    <row r="223">
      <c r="A223" s="143">
        <v>222.0</v>
      </c>
      <c r="B223" s="144" t="s">
        <v>275</v>
      </c>
      <c r="C223" s="144" t="s">
        <v>276</v>
      </c>
      <c r="D223" s="144" t="s">
        <v>279</v>
      </c>
      <c r="E223" s="146">
        <v>0.11</v>
      </c>
    </row>
    <row r="224">
      <c r="A224" s="143">
        <v>223.0</v>
      </c>
      <c r="B224" s="144" t="s">
        <v>275</v>
      </c>
      <c r="C224" s="144" t="s">
        <v>276</v>
      </c>
      <c r="D224" s="144" t="s">
        <v>280</v>
      </c>
      <c r="E224" s="146">
        <v>0.11</v>
      </c>
    </row>
    <row r="225">
      <c r="A225" s="143">
        <v>224.0</v>
      </c>
      <c r="B225" s="144" t="s">
        <v>275</v>
      </c>
      <c r="C225" s="144" t="s">
        <v>276</v>
      </c>
      <c r="D225" s="144" t="s">
        <v>62</v>
      </c>
      <c r="E225" s="146">
        <v>0.11</v>
      </c>
    </row>
    <row r="226">
      <c r="A226" s="143">
        <v>225.0</v>
      </c>
      <c r="B226" s="144" t="s">
        <v>275</v>
      </c>
      <c r="C226" s="144" t="s">
        <v>276</v>
      </c>
      <c r="D226" s="144" t="s">
        <v>281</v>
      </c>
      <c r="E226" s="146">
        <v>0.11</v>
      </c>
    </row>
    <row r="227">
      <c r="A227" s="143">
        <v>226.0</v>
      </c>
      <c r="B227" s="144" t="s">
        <v>275</v>
      </c>
      <c r="C227" s="144" t="s">
        <v>282</v>
      </c>
      <c r="D227" s="144" t="s">
        <v>283</v>
      </c>
      <c r="E227" s="146">
        <v>0.11</v>
      </c>
    </row>
    <row r="228">
      <c r="A228" s="143">
        <v>227.0</v>
      </c>
      <c r="B228" s="144" t="s">
        <v>275</v>
      </c>
      <c r="C228" s="144" t="s">
        <v>282</v>
      </c>
      <c r="D228" s="144" t="s">
        <v>284</v>
      </c>
      <c r="E228" s="146">
        <v>0.11</v>
      </c>
    </row>
    <row r="229">
      <c r="A229" s="143">
        <v>228.0</v>
      </c>
      <c r="B229" s="144" t="s">
        <v>275</v>
      </c>
      <c r="C229" s="144" t="s">
        <v>282</v>
      </c>
      <c r="D229" s="144" t="s">
        <v>285</v>
      </c>
      <c r="E229" s="146">
        <v>0.11</v>
      </c>
    </row>
    <row r="230">
      <c r="A230" s="143">
        <v>229.0</v>
      </c>
      <c r="B230" s="144" t="s">
        <v>275</v>
      </c>
      <c r="C230" s="144" t="s">
        <v>282</v>
      </c>
      <c r="D230" s="144" t="s">
        <v>62</v>
      </c>
      <c r="E230" s="146">
        <v>0.11</v>
      </c>
    </row>
    <row r="231">
      <c r="A231" s="143">
        <v>230.0</v>
      </c>
      <c r="B231" s="144" t="s">
        <v>275</v>
      </c>
      <c r="C231" s="144" t="s">
        <v>282</v>
      </c>
      <c r="D231" s="144" t="s">
        <v>286</v>
      </c>
      <c r="E231" s="146">
        <v>0.11</v>
      </c>
    </row>
    <row r="232">
      <c r="A232" s="143">
        <v>231.0</v>
      </c>
      <c r="B232" s="144" t="s">
        <v>275</v>
      </c>
      <c r="C232" s="144" t="s">
        <v>287</v>
      </c>
      <c r="D232" s="144" t="s">
        <v>288</v>
      </c>
      <c r="E232" s="146">
        <v>0.11</v>
      </c>
    </row>
    <row r="233">
      <c r="A233" s="143">
        <v>232.0</v>
      </c>
      <c r="B233" s="144" t="s">
        <v>275</v>
      </c>
      <c r="C233" s="144" t="s">
        <v>287</v>
      </c>
      <c r="D233" s="144" t="s">
        <v>289</v>
      </c>
      <c r="E233" s="146">
        <v>0.11</v>
      </c>
    </row>
    <row r="234">
      <c r="A234" s="143">
        <v>233.0</v>
      </c>
      <c r="B234" s="144" t="s">
        <v>275</v>
      </c>
      <c r="C234" s="144" t="s">
        <v>287</v>
      </c>
      <c r="D234" s="144" t="s">
        <v>62</v>
      </c>
      <c r="E234" s="146">
        <v>0.11</v>
      </c>
    </row>
    <row r="235">
      <c r="A235" s="143">
        <v>234.0</v>
      </c>
      <c r="B235" s="144" t="s">
        <v>275</v>
      </c>
      <c r="C235" s="144" t="s">
        <v>290</v>
      </c>
      <c r="D235" s="145"/>
      <c r="E235" s="146">
        <v>0.11</v>
      </c>
    </row>
    <row r="236">
      <c r="A236" s="143">
        <v>235.0</v>
      </c>
      <c r="B236" s="144" t="s">
        <v>275</v>
      </c>
      <c r="C236" s="144" t="s">
        <v>62</v>
      </c>
      <c r="D236" s="145"/>
      <c r="E236" s="146">
        <v>0.11</v>
      </c>
    </row>
    <row r="237">
      <c r="A237" s="143">
        <v>236.0</v>
      </c>
      <c r="B237" s="144" t="s">
        <v>275</v>
      </c>
      <c r="C237" s="144" t="s">
        <v>291</v>
      </c>
      <c r="D237" s="144" t="s">
        <v>292</v>
      </c>
      <c r="E237" s="146">
        <v>0.11</v>
      </c>
    </row>
    <row r="238">
      <c r="A238" s="143">
        <v>237.0</v>
      </c>
      <c r="B238" s="144" t="s">
        <v>275</v>
      </c>
      <c r="C238" s="144" t="s">
        <v>291</v>
      </c>
      <c r="D238" s="144" t="s">
        <v>293</v>
      </c>
      <c r="E238" s="146">
        <v>0.11</v>
      </c>
    </row>
    <row r="239">
      <c r="A239" s="143">
        <v>238.0</v>
      </c>
      <c r="B239" s="144" t="s">
        <v>275</v>
      </c>
      <c r="C239" s="144" t="s">
        <v>291</v>
      </c>
      <c r="D239" s="144" t="s">
        <v>294</v>
      </c>
      <c r="E239" s="146">
        <v>0.11</v>
      </c>
    </row>
    <row r="240">
      <c r="A240" s="143">
        <v>239.0</v>
      </c>
      <c r="B240" s="144" t="s">
        <v>275</v>
      </c>
      <c r="C240" s="144" t="s">
        <v>291</v>
      </c>
      <c r="D240" s="144" t="s">
        <v>295</v>
      </c>
      <c r="E240" s="146">
        <v>0.11</v>
      </c>
    </row>
    <row r="241">
      <c r="A241" s="143">
        <v>240.0</v>
      </c>
      <c r="B241" s="144" t="s">
        <v>275</v>
      </c>
      <c r="C241" s="144" t="s">
        <v>291</v>
      </c>
      <c r="D241" s="144" t="s">
        <v>296</v>
      </c>
      <c r="E241" s="146">
        <v>0.11</v>
      </c>
    </row>
    <row r="242">
      <c r="A242" s="143">
        <v>241.0</v>
      </c>
      <c r="B242" s="144" t="s">
        <v>275</v>
      </c>
      <c r="C242" s="144" t="s">
        <v>291</v>
      </c>
      <c r="D242" s="144" t="s">
        <v>62</v>
      </c>
      <c r="E242" s="146">
        <v>0.11</v>
      </c>
    </row>
    <row r="243">
      <c r="A243" s="143">
        <v>242.0</v>
      </c>
      <c r="B243" s="144" t="s">
        <v>275</v>
      </c>
      <c r="C243" s="144" t="s">
        <v>291</v>
      </c>
      <c r="D243" s="144" t="s">
        <v>297</v>
      </c>
      <c r="E243" s="146">
        <v>0.11</v>
      </c>
    </row>
    <row r="244">
      <c r="A244" s="143">
        <v>243.0</v>
      </c>
      <c r="B244" s="144" t="s">
        <v>275</v>
      </c>
      <c r="C244" s="144" t="s">
        <v>298</v>
      </c>
      <c r="D244" s="144" t="s">
        <v>299</v>
      </c>
      <c r="E244" s="146">
        <v>0.11</v>
      </c>
    </row>
    <row r="245">
      <c r="A245" s="143">
        <v>244.0</v>
      </c>
      <c r="B245" s="144" t="s">
        <v>275</v>
      </c>
      <c r="C245" s="144" t="s">
        <v>298</v>
      </c>
      <c r="D245" s="144" t="s">
        <v>62</v>
      </c>
      <c r="E245" s="146">
        <v>0.11</v>
      </c>
    </row>
    <row r="246">
      <c r="A246" s="143">
        <v>245.0</v>
      </c>
      <c r="B246" s="144" t="s">
        <v>275</v>
      </c>
      <c r="C246" s="144" t="s">
        <v>298</v>
      </c>
      <c r="D246" s="144" t="s">
        <v>300</v>
      </c>
      <c r="E246" s="146">
        <v>0.11</v>
      </c>
    </row>
    <row r="247">
      <c r="A247" s="143">
        <v>246.0</v>
      </c>
      <c r="B247" s="144" t="s">
        <v>275</v>
      </c>
      <c r="C247" s="144" t="s">
        <v>298</v>
      </c>
      <c r="D247" s="144" t="s">
        <v>301</v>
      </c>
      <c r="E247" s="146">
        <v>0.11</v>
      </c>
    </row>
    <row r="248">
      <c r="A248" s="143">
        <v>247.0</v>
      </c>
      <c r="B248" s="144" t="s">
        <v>275</v>
      </c>
      <c r="C248" s="144" t="s">
        <v>302</v>
      </c>
      <c r="D248" s="144" t="s">
        <v>303</v>
      </c>
      <c r="E248" s="146">
        <v>0.11</v>
      </c>
    </row>
    <row r="249">
      <c r="A249" s="143">
        <v>248.0</v>
      </c>
      <c r="B249" s="144" t="s">
        <v>275</v>
      </c>
      <c r="C249" s="144" t="s">
        <v>302</v>
      </c>
      <c r="D249" s="144" t="s">
        <v>62</v>
      </c>
      <c r="E249" s="146">
        <v>0.11</v>
      </c>
    </row>
    <row r="250">
      <c r="A250" s="143">
        <v>249.0</v>
      </c>
      <c r="B250" s="144" t="s">
        <v>275</v>
      </c>
      <c r="C250" s="144" t="s">
        <v>302</v>
      </c>
      <c r="D250" s="144" t="s">
        <v>304</v>
      </c>
      <c r="E250" s="146">
        <v>0.11</v>
      </c>
    </row>
    <row r="251">
      <c r="A251" s="143">
        <v>250.0</v>
      </c>
      <c r="B251" s="144" t="s">
        <v>275</v>
      </c>
      <c r="C251" s="144" t="s">
        <v>305</v>
      </c>
      <c r="D251" s="144" t="s">
        <v>306</v>
      </c>
      <c r="E251" s="146">
        <v>0.11</v>
      </c>
    </row>
    <row r="252">
      <c r="A252" s="143">
        <v>251.0</v>
      </c>
      <c r="B252" s="144" t="s">
        <v>275</v>
      </c>
      <c r="C252" s="144" t="s">
        <v>305</v>
      </c>
      <c r="D252" s="144" t="s">
        <v>307</v>
      </c>
      <c r="E252" s="146">
        <v>0.11</v>
      </c>
    </row>
    <row r="253">
      <c r="A253" s="143">
        <v>252.0</v>
      </c>
      <c r="B253" s="144" t="s">
        <v>275</v>
      </c>
      <c r="C253" s="144" t="s">
        <v>305</v>
      </c>
      <c r="D253" s="144" t="s">
        <v>308</v>
      </c>
      <c r="E253" s="146">
        <v>0.11</v>
      </c>
    </row>
    <row r="254">
      <c r="A254" s="143">
        <v>253.0</v>
      </c>
      <c r="B254" s="144" t="s">
        <v>275</v>
      </c>
      <c r="C254" s="144" t="s">
        <v>305</v>
      </c>
      <c r="D254" s="144" t="s">
        <v>62</v>
      </c>
      <c r="E254" s="146">
        <v>0.11</v>
      </c>
    </row>
    <row r="255">
      <c r="A255" s="143">
        <v>254.0</v>
      </c>
      <c r="B255" s="144" t="s">
        <v>275</v>
      </c>
      <c r="C255" s="144" t="s">
        <v>309</v>
      </c>
      <c r="D255" s="145"/>
      <c r="E255" s="146">
        <v>0.11</v>
      </c>
    </row>
    <row r="256">
      <c r="A256" s="143">
        <v>255.0</v>
      </c>
      <c r="B256" s="144" t="s">
        <v>275</v>
      </c>
      <c r="C256" s="144" t="s">
        <v>310</v>
      </c>
      <c r="D256" s="144" t="s">
        <v>311</v>
      </c>
      <c r="E256" s="146">
        <v>0.11</v>
      </c>
    </row>
    <row r="257">
      <c r="A257" s="143">
        <v>256.0</v>
      </c>
      <c r="B257" s="144" t="s">
        <v>275</v>
      </c>
      <c r="C257" s="144" t="s">
        <v>310</v>
      </c>
      <c r="D257" s="144" t="s">
        <v>312</v>
      </c>
      <c r="E257" s="146">
        <v>0.11</v>
      </c>
    </row>
    <row r="258">
      <c r="A258" s="143">
        <v>257.0</v>
      </c>
      <c r="B258" s="144" t="s">
        <v>275</v>
      </c>
      <c r="C258" s="144" t="s">
        <v>310</v>
      </c>
      <c r="D258" s="144" t="s">
        <v>313</v>
      </c>
      <c r="E258" s="146">
        <v>0.11</v>
      </c>
    </row>
    <row r="259">
      <c r="A259" s="143">
        <v>258.0</v>
      </c>
      <c r="B259" s="144" t="s">
        <v>275</v>
      </c>
      <c r="C259" s="144" t="s">
        <v>310</v>
      </c>
      <c r="D259" s="144" t="s">
        <v>314</v>
      </c>
      <c r="E259" s="146">
        <v>0.11</v>
      </c>
    </row>
    <row r="260">
      <c r="A260" s="143">
        <v>259.0</v>
      </c>
      <c r="B260" s="144" t="s">
        <v>275</v>
      </c>
      <c r="C260" s="144" t="s">
        <v>310</v>
      </c>
      <c r="D260" s="144" t="s">
        <v>315</v>
      </c>
      <c r="E260" s="146">
        <v>0.11</v>
      </c>
    </row>
    <row r="261">
      <c r="A261" s="143">
        <v>260.0</v>
      </c>
      <c r="B261" s="144" t="s">
        <v>275</v>
      </c>
      <c r="C261" s="144" t="s">
        <v>310</v>
      </c>
      <c r="D261" s="144" t="s">
        <v>62</v>
      </c>
      <c r="E261" s="146">
        <v>0.11</v>
      </c>
    </row>
    <row r="262">
      <c r="A262" s="143">
        <v>261.0</v>
      </c>
      <c r="B262" s="144" t="s">
        <v>275</v>
      </c>
      <c r="C262" s="144" t="s">
        <v>310</v>
      </c>
      <c r="D262" s="144" t="s">
        <v>316</v>
      </c>
      <c r="E262" s="146">
        <v>0.11</v>
      </c>
    </row>
    <row r="263">
      <c r="A263" s="143">
        <v>262.0</v>
      </c>
      <c r="B263" s="144" t="s">
        <v>275</v>
      </c>
      <c r="C263" s="144" t="s">
        <v>310</v>
      </c>
      <c r="D263" s="144" t="s">
        <v>317</v>
      </c>
      <c r="E263" s="146">
        <v>0.11</v>
      </c>
    </row>
    <row r="264">
      <c r="A264" s="143">
        <v>263.0</v>
      </c>
      <c r="B264" s="144" t="s">
        <v>275</v>
      </c>
      <c r="C264" s="144" t="s">
        <v>318</v>
      </c>
      <c r="D264" s="145"/>
      <c r="E264" s="146">
        <v>0.11</v>
      </c>
    </row>
    <row r="265">
      <c r="A265" s="143">
        <v>264.0</v>
      </c>
      <c r="B265" s="144" t="s">
        <v>319</v>
      </c>
      <c r="C265" s="144" t="s">
        <v>320</v>
      </c>
      <c r="D265" s="144" t="s">
        <v>321</v>
      </c>
      <c r="E265" s="146">
        <v>0.135</v>
      </c>
    </row>
    <row r="266">
      <c r="A266" s="143">
        <v>265.0</v>
      </c>
      <c r="B266" s="144" t="s">
        <v>319</v>
      </c>
      <c r="C266" s="144" t="s">
        <v>320</v>
      </c>
      <c r="D266" s="144" t="s">
        <v>322</v>
      </c>
      <c r="E266" s="146">
        <v>0.135</v>
      </c>
    </row>
    <row r="267">
      <c r="A267" s="143">
        <v>266.0</v>
      </c>
      <c r="B267" s="144" t="s">
        <v>319</v>
      </c>
      <c r="C267" s="144" t="s">
        <v>320</v>
      </c>
      <c r="D267" s="144" t="s">
        <v>323</v>
      </c>
      <c r="E267" s="146">
        <v>0.135</v>
      </c>
    </row>
    <row r="268">
      <c r="A268" s="143">
        <v>267.0</v>
      </c>
      <c r="B268" s="144" t="s">
        <v>319</v>
      </c>
      <c r="C268" s="144" t="s">
        <v>320</v>
      </c>
      <c r="D268" s="144" t="s">
        <v>324</v>
      </c>
      <c r="E268" s="146">
        <v>0.135</v>
      </c>
    </row>
    <row r="269">
      <c r="A269" s="143">
        <v>268.0</v>
      </c>
      <c r="B269" s="144" t="s">
        <v>319</v>
      </c>
      <c r="C269" s="144" t="s">
        <v>320</v>
      </c>
      <c r="D269" s="144" t="s">
        <v>325</v>
      </c>
      <c r="E269" s="146">
        <v>0.135</v>
      </c>
    </row>
    <row r="270">
      <c r="A270" s="143">
        <v>269.0</v>
      </c>
      <c r="B270" s="144" t="s">
        <v>319</v>
      </c>
      <c r="C270" s="144" t="s">
        <v>320</v>
      </c>
      <c r="D270" s="144" t="s">
        <v>326</v>
      </c>
      <c r="E270" s="146">
        <v>0.135</v>
      </c>
    </row>
    <row r="271">
      <c r="A271" s="143">
        <v>270.0</v>
      </c>
      <c r="B271" s="144" t="s">
        <v>319</v>
      </c>
      <c r="C271" s="144" t="s">
        <v>320</v>
      </c>
      <c r="D271" s="144" t="s">
        <v>327</v>
      </c>
      <c r="E271" s="146">
        <v>0.135</v>
      </c>
    </row>
    <row r="272">
      <c r="A272" s="143">
        <v>271.0</v>
      </c>
      <c r="B272" s="144" t="s">
        <v>319</v>
      </c>
      <c r="C272" s="144" t="s">
        <v>320</v>
      </c>
      <c r="D272" s="144" t="s">
        <v>328</v>
      </c>
      <c r="E272" s="146">
        <v>0.135</v>
      </c>
    </row>
    <row r="273">
      <c r="A273" s="143">
        <v>272.0</v>
      </c>
      <c r="B273" s="144" t="s">
        <v>319</v>
      </c>
      <c r="C273" s="144" t="s">
        <v>320</v>
      </c>
      <c r="D273" s="144" t="s">
        <v>62</v>
      </c>
      <c r="E273" s="146">
        <v>0.135</v>
      </c>
    </row>
    <row r="274">
      <c r="A274" s="143">
        <v>273.0</v>
      </c>
      <c r="B274" s="144" t="s">
        <v>319</v>
      </c>
      <c r="C274" s="144" t="s">
        <v>320</v>
      </c>
      <c r="D274" s="144" t="s">
        <v>329</v>
      </c>
      <c r="E274" s="146">
        <v>0.135</v>
      </c>
    </row>
    <row r="275">
      <c r="A275" s="143">
        <v>274.0</v>
      </c>
      <c r="B275" s="144" t="s">
        <v>319</v>
      </c>
      <c r="C275" s="144" t="s">
        <v>320</v>
      </c>
      <c r="D275" s="144" t="s">
        <v>330</v>
      </c>
      <c r="E275" s="146">
        <v>0.135</v>
      </c>
    </row>
    <row r="276">
      <c r="A276" s="143">
        <v>275.0</v>
      </c>
      <c r="B276" s="144" t="s">
        <v>319</v>
      </c>
      <c r="C276" s="144" t="s">
        <v>320</v>
      </c>
      <c r="D276" s="144" t="s">
        <v>331</v>
      </c>
      <c r="E276" s="146">
        <v>0.135</v>
      </c>
    </row>
    <row r="277">
      <c r="A277" s="143">
        <v>276.0</v>
      </c>
      <c r="B277" s="144" t="s">
        <v>319</v>
      </c>
      <c r="C277" s="144" t="s">
        <v>320</v>
      </c>
      <c r="D277" s="144" t="s">
        <v>332</v>
      </c>
      <c r="E277" s="146">
        <v>0.135</v>
      </c>
    </row>
    <row r="278">
      <c r="A278" s="143">
        <v>277.0</v>
      </c>
      <c r="B278" s="144" t="s">
        <v>319</v>
      </c>
      <c r="C278" s="144" t="s">
        <v>333</v>
      </c>
      <c r="D278" s="144" t="s">
        <v>334</v>
      </c>
      <c r="E278" s="146">
        <v>0.135</v>
      </c>
    </row>
    <row r="279">
      <c r="A279" s="143">
        <v>278.0</v>
      </c>
      <c r="B279" s="144" t="s">
        <v>319</v>
      </c>
      <c r="C279" s="144" t="s">
        <v>333</v>
      </c>
      <c r="D279" s="144" t="s">
        <v>335</v>
      </c>
      <c r="E279" s="146">
        <v>0.135</v>
      </c>
    </row>
    <row r="280">
      <c r="A280" s="143">
        <v>279.0</v>
      </c>
      <c r="B280" s="144" t="s">
        <v>319</v>
      </c>
      <c r="C280" s="144" t="s">
        <v>333</v>
      </c>
      <c r="D280" s="144" t="s">
        <v>336</v>
      </c>
      <c r="E280" s="146">
        <v>0.135</v>
      </c>
    </row>
    <row r="281">
      <c r="A281" s="143">
        <v>280.0</v>
      </c>
      <c r="B281" s="144" t="s">
        <v>319</v>
      </c>
      <c r="C281" s="144" t="s">
        <v>333</v>
      </c>
      <c r="D281" s="144" t="s">
        <v>62</v>
      </c>
      <c r="E281" s="146">
        <v>0.135</v>
      </c>
    </row>
    <row r="282">
      <c r="A282" s="143">
        <v>281.0</v>
      </c>
      <c r="B282" s="144" t="s">
        <v>319</v>
      </c>
      <c r="C282" s="144" t="s">
        <v>333</v>
      </c>
      <c r="D282" s="144" t="s">
        <v>337</v>
      </c>
      <c r="E282" s="146">
        <v>0.135</v>
      </c>
    </row>
    <row r="283">
      <c r="A283" s="143">
        <v>282.0</v>
      </c>
      <c r="B283" s="144" t="s">
        <v>319</v>
      </c>
      <c r="C283" s="144" t="s">
        <v>333</v>
      </c>
      <c r="D283" s="144" t="s">
        <v>338</v>
      </c>
      <c r="E283" s="146">
        <v>0.135</v>
      </c>
    </row>
    <row r="284">
      <c r="A284" s="143">
        <v>283.0</v>
      </c>
      <c r="B284" s="144" t="s">
        <v>319</v>
      </c>
      <c r="C284" s="144" t="s">
        <v>333</v>
      </c>
      <c r="D284" s="144" t="s">
        <v>339</v>
      </c>
      <c r="E284" s="146">
        <v>0.135</v>
      </c>
    </row>
    <row r="285">
      <c r="A285" s="143">
        <v>284.0</v>
      </c>
      <c r="B285" s="144" t="s">
        <v>319</v>
      </c>
      <c r="C285" s="144" t="s">
        <v>333</v>
      </c>
      <c r="D285" s="144" t="s">
        <v>340</v>
      </c>
      <c r="E285" s="146">
        <v>0.135</v>
      </c>
    </row>
    <row r="286">
      <c r="A286" s="143">
        <v>285.0</v>
      </c>
      <c r="B286" s="144" t="s">
        <v>319</v>
      </c>
      <c r="C286" s="144" t="s">
        <v>333</v>
      </c>
      <c r="D286" s="144" t="s">
        <v>341</v>
      </c>
      <c r="E286" s="146">
        <v>0.135</v>
      </c>
    </row>
    <row r="287">
      <c r="A287" s="143">
        <v>286.0</v>
      </c>
      <c r="B287" s="144" t="s">
        <v>319</v>
      </c>
      <c r="C287" s="144" t="s">
        <v>333</v>
      </c>
      <c r="D287" s="144" t="s">
        <v>342</v>
      </c>
      <c r="E287" s="146">
        <v>0.135</v>
      </c>
    </row>
    <row r="288">
      <c r="A288" s="143">
        <v>287.0</v>
      </c>
      <c r="B288" s="144" t="s">
        <v>319</v>
      </c>
      <c r="C288" s="144" t="s">
        <v>343</v>
      </c>
      <c r="D288" s="147"/>
      <c r="E288" s="146">
        <v>0.135</v>
      </c>
    </row>
    <row r="289">
      <c r="A289" s="143">
        <v>288.0</v>
      </c>
      <c r="B289" s="144" t="s">
        <v>319</v>
      </c>
      <c r="C289" s="144" t="s">
        <v>344</v>
      </c>
      <c r="D289" s="144" t="s">
        <v>345</v>
      </c>
      <c r="E289" s="146">
        <v>0.135</v>
      </c>
    </row>
    <row r="290">
      <c r="A290" s="143">
        <v>289.0</v>
      </c>
      <c r="B290" s="144" t="s">
        <v>319</v>
      </c>
      <c r="C290" s="144" t="s">
        <v>344</v>
      </c>
      <c r="D290" s="144" t="s">
        <v>346</v>
      </c>
      <c r="E290" s="146">
        <v>0.135</v>
      </c>
    </row>
    <row r="291">
      <c r="A291" s="143">
        <v>290.0</v>
      </c>
      <c r="B291" s="144" t="s">
        <v>319</v>
      </c>
      <c r="C291" s="144" t="s">
        <v>344</v>
      </c>
      <c r="D291" s="144" t="s">
        <v>62</v>
      </c>
      <c r="E291" s="146">
        <v>0.135</v>
      </c>
    </row>
    <row r="292">
      <c r="A292" s="143">
        <v>291.0</v>
      </c>
      <c r="B292" s="144" t="s">
        <v>319</v>
      </c>
      <c r="C292" s="144" t="s">
        <v>344</v>
      </c>
      <c r="D292" s="144" t="s">
        <v>347</v>
      </c>
      <c r="E292" s="146">
        <v>0.135</v>
      </c>
    </row>
    <row r="293">
      <c r="A293" s="143">
        <v>292.0</v>
      </c>
      <c r="B293" s="144" t="s">
        <v>319</v>
      </c>
      <c r="C293" s="144" t="s">
        <v>344</v>
      </c>
      <c r="D293" s="144" t="s">
        <v>339</v>
      </c>
      <c r="E293" s="146">
        <v>0.135</v>
      </c>
    </row>
    <row r="294">
      <c r="A294" s="143">
        <v>293.0</v>
      </c>
      <c r="B294" s="144" t="s">
        <v>319</v>
      </c>
      <c r="C294" s="144" t="s">
        <v>344</v>
      </c>
      <c r="D294" s="144" t="s">
        <v>348</v>
      </c>
      <c r="E294" s="146">
        <v>0.135</v>
      </c>
    </row>
    <row r="295">
      <c r="A295" s="143">
        <v>294.0</v>
      </c>
      <c r="B295" s="144" t="s">
        <v>319</v>
      </c>
      <c r="C295" s="144" t="s">
        <v>344</v>
      </c>
      <c r="D295" s="144" t="s">
        <v>340</v>
      </c>
      <c r="E295" s="146">
        <v>0.135</v>
      </c>
    </row>
    <row r="296">
      <c r="A296" s="143">
        <v>295.0</v>
      </c>
      <c r="B296" s="144" t="s">
        <v>319</v>
      </c>
      <c r="C296" s="144" t="s">
        <v>344</v>
      </c>
      <c r="D296" s="144" t="s">
        <v>341</v>
      </c>
      <c r="E296" s="146">
        <v>0.135</v>
      </c>
    </row>
    <row r="297">
      <c r="A297" s="143">
        <v>296.0</v>
      </c>
      <c r="B297" s="144" t="s">
        <v>319</v>
      </c>
      <c r="C297" s="144" t="s">
        <v>344</v>
      </c>
      <c r="D297" s="144" t="s">
        <v>349</v>
      </c>
      <c r="E297" s="146">
        <v>0.135</v>
      </c>
    </row>
    <row r="298">
      <c r="A298" s="143">
        <v>297.0</v>
      </c>
      <c r="B298" s="144" t="s">
        <v>319</v>
      </c>
      <c r="C298" s="144" t="s">
        <v>350</v>
      </c>
      <c r="D298" s="144" t="s">
        <v>351</v>
      </c>
      <c r="E298" s="146">
        <v>0.135</v>
      </c>
    </row>
    <row r="299">
      <c r="A299" s="143">
        <v>298.0</v>
      </c>
      <c r="B299" s="144" t="s">
        <v>319</v>
      </c>
      <c r="C299" s="144" t="s">
        <v>350</v>
      </c>
      <c r="D299" s="144" t="s">
        <v>352</v>
      </c>
      <c r="E299" s="146">
        <v>0.135</v>
      </c>
    </row>
    <row r="300">
      <c r="A300" s="143">
        <v>299.0</v>
      </c>
      <c r="B300" s="144" t="s">
        <v>319</v>
      </c>
      <c r="C300" s="144" t="s">
        <v>350</v>
      </c>
      <c r="D300" s="144" t="s">
        <v>353</v>
      </c>
      <c r="E300" s="146">
        <v>0.135</v>
      </c>
    </row>
    <row r="301">
      <c r="A301" s="143">
        <v>300.0</v>
      </c>
      <c r="B301" s="144" t="s">
        <v>319</v>
      </c>
      <c r="C301" s="144" t="s">
        <v>350</v>
      </c>
      <c r="D301" s="144" t="s">
        <v>354</v>
      </c>
      <c r="E301" s="146">
        <v>0.135</v>
      </c>
    </row>
    <row r="302">
      <c r="A302" s="143">
        <v>301.0</v>
      </c>
      <c r="B302" s="144" t="s">
        <v>319</v>
      </c>
      <c r="C302" s="144" t="s">
        <v>350</v>
      </c>
      <c r="D302" s="144" t="s">
        <v>62</v>
      </c>
      <c r="E302" s="146">
        <v>0.135</v>
      </c>
    </row>
    <row r="303">
      <c r="A303" s="143">
        <v>302.0</v>
      </c>
      <c r="B303" s="144" t="s">
        <v>319</v>
      </c>
      <c r="C303" s="144" t="s">
        <v>350</v>
      </c>
      <c r="D303" s="144" t="s">
        <v>355</v>
      </c>
      <c r="E303" s="146">
        <v>0.135</v>
      </c>
    </row>
    <row r="304">
      <c r="A304" s="143">
        <v>303.0</v>
      </c>
      <c r="B304" s="144" t="s">
        <v>319</v>
      </c>
      <c r="C304" s="144" t="s">
        <v>350</v>
      </c>
      <c r="D304" s="144" t="s">
        <v>356</v>
      </c>
      <c r="E304" s="146">
        <v>0.135</v>
      </c>
    </row>
    <row r="305">
      <c r="A305" s="143">
        <v>304.0</v>
      </c>
      <c r="B305" s="144" t="s">
        <v>319</v>
      </c>
      <c r="C305" s="144" t="s">
        <v>357</v>
      </c>
      <c r="D305" s="144" t="s">
        <v>345</v>
      </c>
      <c r="E305" s="146">
        <v>0.135</v>
      </c>
    </row>
    <row r="306">
      <c r="A306" s="143">
        <v>305.0</v>
      </c>
      <c r="B306" s="144" t="s">
        <v>319</v>
      </c>
      <c r="C306" s="144" t="s">
        <v>357</v>
      </c>
      <c r="D306" s="144" t="s">
        <v>346</v>
      </c>
      <c r="E306" s="146">
        <v>0.135</v>
      </c>
    </row>
    <row r="307">
      <c r="A307" s="143">
        <v>306.0</v>
      </c>
      <c r="B307" s="144" t="s">
        <v>319</v>
      </c>
      <c r="C307" s="144" t="s">
        <v>357</v>
      </c>
      <c r="D307" s="144" t="s">
        <v>336</v>
      </c>
      <c r="E307" s="146">
        <v>0.135</v>
      </c>
    </row>
    <row r="308">
      <c r="A308" s="143">
        <v>307.0</v>
      </c>
      <c r="B308" s="144" t="s">
        <v>319</v>
      </c>
      <c r="C308" s="144" t="s">
        <v>357</v>
      </c>
      <c r="D308" s="144" t="s">
        <v>62</v>
      </c>
      <c r="E308" s="146">
        <v>0.135</v>
      </c>
    </row>
    <row r="309">
      <c r="A309" s="143">
        <v>308.0</v>
      </c>
      <c r="B309" s="144" t="s">
        <v>319</v>
      </c>
      <c r="C309" s="144" t="s">
        <v>357</v>
      </c>
      <c r="D309" s="144" t="s">
        <v>347</v>
      </c>
      <c r="E309" s="146">
        <v>0.135</v>
      </c>
    </row>
    <row r="310">
      <c r="A310" s="143">
        <v>309.0</v>
      </c>
      <c r="B310" s="144" t="s">
        <v>319</v>
      </c>
      <c r="C310" s="144" t="s">
        <v>357</v>
      </c>
      <c r="D310" s="144" t="s">
        <v>358</v>
      </c>
      <c r="E310" s="146">
        <v>0.135</v>
      </c>
    </row>
    <row r="311">
      <c r="A311" s="143">
        <v>310.0</v>
      </c>
      <c r="B311" s="144" t="s">
        <v>319</v>
      </c>
      <c r="C311" s="144" t="s">
        <v>357</v>
      </c>
      <c r="D311" s="144" t="s">
        <v>339</v>
      </c>
      <c r="E311" s="146">
        <v>0.135</v>
      </c>
    </row>
    <row r="312">
      <c r="A312" s="143">
        <v>311.0</v>
      </c>
      <c r="B312" s="144" t="s">
        <v>319</v>
      </c>
      <c r="C312" s="144" t="s">
        <v>357</v>
      </c>
      <c r="D312" s="144" t="s">
        <v>348</v>
      </c>
      <c r="E312" s="146">
        <v>0.135</v>
      </c>
    </row>
    <row r="313">
      <c r="A313" s="143">
        <v>312.0</v>
      </c>
      <c r="B313" s="144" t="s">
        <v>319</v>
      </c>
      <c r="C313" s="144" t="s">
        <v>357</v>
      </c>
      <c r="D313" s="144" t="s">
        <v>340</v>
      </c>
      <c r="E313" s="146">
        <v>0.135</v>
      </c>
    </row>
    <row r="314">
      <c r="A314" s="143">
        <v>313.0</v>
      </c>
      <c r="B314" s="144" t="s">
        <v>319</v>
      </c>
      <c r="C314" s="144" t="s">
        <v>357</v>
      </c>
      <c r="D314" s="144" t="s">
        <v>341</v>
      </c>
      <c r="E314" s="146">
        <v>0.135</v>
      </c>
    </row>
    <row r="315">
      <c r="A315" s="143">
        <v>314.0</v>
      </c>
      <c r="B315" s="144" t="s">
        <v>319</v>
      </c>
      <c r="C315" s="144" t="s">
        <v>357</v>
      </c>
      <c r="D315" s="144" t="s">
        <v>349</v>
      </c>
      <c r="E315" s="146">
        <v>0.135</v>
      </c>
    </row>
    <row r="316">
      <c r="A316" s="143">
        <v>315.0</v>
      </c>
      <c r="B316" s="144" t="s">
        <v>319</v>
      </c>
      <c r="C316" s="144" t="s">
        <v>359</v>
      </c>
      <c r="D316" s="144" t="s">
        <v>351</v>
      </c>
      <c r="E316" s="146">
        <v>0.135</v>
      </c>
    </row>
    <row r="317">
      <c r="A317" s="143">
        <v>316.0</v>
      </c>
      <c r="B317" s="144" t="s">
        <v>319</v>
      </c>
      <c r="C317" s="144" t="s">
        <v>359</v>
      </c>
      <c r="D317" s="144" t="s">
        <v>360</v>
      </c>
      <c r="E317" s="146">
        <v>0.135</v>
      </c>
    </row>
    <row r="318">
      <c r="A318" s="143">
        <v>317.0</v>
      </c>
      <c r="B318" s="144" t="s">
        <v>319</v>
      </c>
      <c r="C318" s="144" t="s">
        <v>359</v>
      </c>
      <c r="D318" s="144" t="s">
        <v>352</v>
      </c>
      <c r="E318" s="146">
        <v>0.135</v>
      </c>
    </row>
    <row r="319">
      <c r="A319" s="143">
        <v>318.0</v>
      </c>
      <c r="B319" s="144" t="s">
        <v>319</v>
      </c>
      <c r="C319" s="144" t="s">
        <v>359</v>
      </c>
      <c r="D319" s="144" t="s">
        <v>354</v>
      </c>
      <c r="E319" s="146">
        <v>0.135</v>
      </c>
    </row>
    <row r="320">
      <c r="A320" s="143">
        <v>319.0</v>
      </c>
      <c r="B320" s="144" t="s">
        <v>319</v>
      </c>
      <c r="C320" s="144" t="s">
        <v>359</v>
      </c>
      <c r="D320" s="144" t="s">
        <v>62</v>
      </c>
      <c r="E320" s="146">
        <v>0.135</v>
      </c>
    </row>
    <row r="321">
      <c r="A321" s="143">
        <v>320.0</v>
      </c>
      <c r="B321" s="144" t="s">
        <v>319</v>
      </c>
      <c r="C321" s="144" t="s">
        <v>359</v>
      </c>
      <c r="D321" s="144" t="s">
        <v>355</v>
      </c>
      <c r="E321" s="146">
        <v>0.135</v>
      </c>
    </row>
    <row r="322">
      <c r="A322" s="143">
        <v>321.0</v>
      </c>
      <c r="B322" s="144" t="s">
        <v>319</v>
      </c>
      <c r="C322" s="144" t="s">
        <v>359</v>
      </c>
      <c r="D322" s="144" t="s">
        <v>356</v>
      </c>
      <c r="E322" s="146">
        <v>0.135</v>
      </c>
    </row>
    <row r="323">
      <c r="A323" s="143">
        <v>322.0</v>
      </c>
      <c r="B323" s="144" t="s">
        <v>319</v>
      </c>
      <c r="C323" s="144" t="s">
        <v>62</v>
      </c>
      <c r="D323" s="147"/>
      <c r="E323" s="146">
        <v>0.135</v>
      </c>
    </row>
    <row r="324">
      <c r="A324" s="143">
        <v>323.0</v>
      </c>
      <c r="B324" s="144" t="s">
        <v>361</v>
      </c>
      <c r="C324" s="144" t="s">
        <v>362</v>
      </c>
      <c r="D324" s="147"/>
      <c r="E324" s="146">
        <v>0.135</v>
      </c>
    </row>
    <row r="325">
      <c r="A325" s="143">
        <v>324.0</v>
      </c>
      <c r="B325" s="144" t="s">
        <v>361</v>
      </c>
      <c r="C325" s="144" t="s">
        <v>363</v>
      </c>
      <c r="D325" s="144" t="s">
        <v>364</v>
      </c>
      <c r="E325" s="146">
        <v>0.135</v>
      </c>
    </row>
    <row r="326">
      <c r="A326" s="143">
        <v>325.0</v>
      </c>
      <c r="B326" s="144" t="s">
        <v>361</v>
      </c>
      <c r="C326" s="144" t="s">
        <v>363</v>
      </c>
      <c r="D326" s="144" t="s">
        <v>365</v>
      </c>
      <c r="E326" s="146">
        <v>0.125</v>
      </c>
    </row>
    <row r="327">
      <c r="A327" s="143">
        <v>326.0</v>
      </c>
      <c r="B327" s="144" t="s">
        <v>361</v>
      </c>
      <c r="C327" s="144" t="s">
        <v>363</v>
      </c>
      <c r="D327" s="144" t="s">
        <v>366</v>
      </c>
      <c r="E327" s="146">
        <v>0.125</v>
      </c>
    </row>
    <row r="328">
      <c r="A328" s="143">
        <v>327.0</v>
      </c>
      <c r="B328" s="144" t="s">
        <v>361</v>
      </c>
      <c r="C328" s="144" t="s">
        <v>363</v>
      </c>
      <c r="D328" s="144" t="s">
        <v>367</v>
      </c>
      <c r="E328" s="146">
        <v>0.135</v>
      </c>
    </row>
    <row r="329">
      <c r="A329" s="143">
        <v>328.0</v>
      </c>
      <c r="B329" s="144" t="s">
        <v>361</v>
      </c>
      <c r="C329" s="144" t="s">
        <v>363</v>
      </c>
      <c r="D329" s="144" t="s">
        <v>368</v>
      </c>
      <c r="E329" s="146">
        <v>0.135</v>
      </c>
    </row>
    <row r="330">
      <c r="A330" s="143">
        <v>329.0</v>
      </c>
      <c r="B330" s="144" t="s">
        <v>361</v>
      </c>
      <c r="C330" s="144" t="s">
        <v>363</v>
      </c>
      <c r="D330" s="144" t="s">
        <v>62</v>
      </c>
      <c r="E330" s="146">
        <v>0.135</v>
      </c>
    </row>
    <row r="331">
      <c r="A331" s="143">
        <v>330.0</v>
      </c>
      <c r="B331" s="144" t="s">
        <v>361</v>
      </c>
      <c r="C331" s="144" t="s">
        <v>363</v>
      </c>
      <c r="D331" s="144" t="s">
        <v>369</v>
      </c>
      <c r="E331" s="146">
        <v>0.135</v>
      </c>
    </row>
    <row r="332">
      <c r="A332" s="143">
        <v>331.0</v>
      </c>
      <c r="B332" s="144" t="s">
        <v>361</v>
      </c>
      <c r="C332" s="144" t="s">
        <v>363</v>
      </c>
      <c r="D332" s="144" t="s">
        <v>370</v>
      </c>
      <c r="E332" s="146">
        <v>0.135</v>
      </c>
    </row>
    <row r="333">
      <c r="A333" s="143">
        <v>332.0</v>
      </c>
      <c r="B333" s="144" t="s">
        <v>361</v>
      </c>
      <c r="C333" s="144" t="s">
        <v>371</v>
      </c>
      <c r="D333" s="147"/>
      <c r="E333" s="146">
        <v>0.135</v>
      </c>
    </row>
    <row r="334">
      <c r="A334" s="143">
        <v>333.0</v>
      </c>
      <c r="B334" s="144" t="s">
        <v>361</v>
      </c>
      <c r="C334" s="144" t="s">
        <v>322</v>
      </c>
      <c r="D334" s="147"/>
      <c r="E334" s="146">
        <v>0.135</v>
      </c>
    </row>
    <row r="335">
      <c r="A335" s="143">
        <v>334.0</v>
      </c>
      <c r="B335" s="144" t="s">
        <v>361</v>
      </c>
      <c r="C335" s="144" t="s">
        <v>372</v>
      </c>
      <c r="D335" s="147"/>
      <c r="E335" s="146">
        <v>0.125</v>
      </c>
    </row>
    <row r="336">
      <c r="A336" s="143">
        <v>335.0</v>
      </c>
      <c r="B336" s="144" t="s">
        <v>361</v>
      </c>
      <c r="C336" s="144" t="s">
        <v>373</v>
      </c>
      <c r="D336" s="147"/>
      <c r="E336" s="146">
        <v>0.125</v>
      </c>
    </row>
    <row r="337">
      <c r="A337" s="143">
        <v>336.0</v>
      </c>
      <c r="B337" s="144" t="s">
        <v>361</v>
      </c>
      <c r="C337" s="144" t="s">
        <v>374</v>
      </c>
      <c r="D337" s="144" t="s">
        <v>375</v>
      </c>
      <c r="E337" s="146">
        <v>0.135</v>
      </c>
    </row>
    <row r="338">
      <c r="A338" s="143">
        <v>337.0</v>
      </c>
      <c r="B338" s="144" t="s">
        <v>361</v>
      </c>
      <c r="C338" s="144" t="s">
        <v>374</v>
      </c>
      <c r="D338" s="144" t="s">
        <v>376</v>
      </c>
      <c r="E338" s="146">
        <v>0.135</v>
      </c>
    </row>
    <row r="339">
      <c r="A339" s="143">
        <v>338.0</v>
      </c>
      <c r="B339" s="144" t="s">
        <v>361</v>
      </c>
      <c r="C339" s="144" t="s">
        <v>374</v>
      </c>
      <c r="D339" s="144" t="s">
        <v>62</v>
      </c>
      <c r="E339" s="146">
        <v>0.135</v>
      </c>
    </row>
    <row r="340">
      <c r="A340" s="143">
        <v>339.0</v>
      </c>
      <c r="B340" s="144" t="s">
        <v>361</v>
      </c>
      <c r="C340" s="144" t="s">
        <v>374</v>
      </c>
      <c r="D340" s="144" t="s">
        <v>377</v>
      </c>
      <c r="E340" s="146">
        <v>0.135</v>
      </c>
    </row>
    <row r="341">
      <c r="A341" s="143">
        <v>340.0</v>
      </c>
      <c r="B341" s="144" t="s">
        <v>361</v>
      </c>
      <c r="C341" s="144" t="s">
        <v>378</v>
      </c>
      <c r="D341" s="144" t="s">
        <v>379</v>
      </c>
      <c r="E341" s="146">
        <v>0.125</v>
      </c>
    </row>
    <row r="342">
      <c r="A342" s="143">
        <v>341.0</v>
      </c>
      <c r="B342" s="144" t="s">
        <v>361</v>
      </c>
      <c r="C342" s="144" t="s">
        <v>378</v>
      </c>
      <c r="D342" s="144" t="s">
        <v>380</v>
      </c>
      <c r="E342" s="146">
        <v>0.125</v>
      </c>
    </row>
    <row r="343">
      <c r="A343" s="143">
        <v>342.0</v>
      </c>
      <c r="B343" s="144" t="s">
        <v>361</v>
      </c>
      <c r="C343" s="144" t="s">
        <v>378</v>
      </c>
      <c r="D343" s="144" t="s">
        <v>381</v>
      </c>
      <c r="E343" s="146">
        <v>0.125</v>
      </c>
    </row>
    <row r="344">
      <c r="A344" s="143">
        <v>343.0</v>
      </c>
      <c r="B344" s="144" t="s">
        <v>361</v>
      </c>
      <c r="C344" s="144" t="s">
        <v>378</v>
      </c>
      <c r="D344" s="144" t="s">
        <v>382</v>
      </c>
      <c r="E344" s="146">
        <v>0.125</v>
      </c>
    </row>
    <row r="345">
      <c r="A345" s="143">
        <v>344.0</v>
      </c>
      <c r="B345" s="144" t="s">
        <v>361</v>
      </c>
      <c r="C345" s="144" t="s">
        <v>378</v>
      </c>
      <c r="D345" s="144" t="s">
        <v>383</v>
      </c>
      <c r="E345" s="146">
        <v>0.125</v>
      </c>
    </row>
    <row r="346">
      <c r="A346" s="143">
        <v>345.0</v>
      </c>
      <c r="B346" s="144" t="s">
        <v>361</v>
      </c>
      <c r="C346" s="144" t="s">
        <v>378</v>
      </c>
      <c r="D346" s="144" t="s">
        <v>384</v>
      </c>
      <c r="E346" s="146">
        <v>0.125</v>
      </c>
    </row>
    <row r="347">
      <c r="A347" s="143">
        <v>346.0</v>
      </c>
      <c r="B347" s="144" t="s">
        <v>361</v>
      </c>
      <c r="C347" s="144" t="s">
        <v>378</v>
      </c>
      <c r="D347" s="144" t="s">
        <v>385</v>
      </c>
      <c r="E347" s="146">
        <v>0.125</v>
      </c>
    </row>
    <row r="348">
      <c r="A348" s="143">
        <v>347.0</v>
      </c>
      <c r="B348" s="144" t="s">
        <v>361</v>
      </c>
      <c r="C348" s="144" t="s">
        <v>378</v>
      </c>
      <c r="D348" s="144" t="s">
        <v>386</v>
      </c>
      <c r="E348" s="146">
        <v>0.125</v>
      </c>
    </row>
    <row r="349">
      <c r="A349" s="143">
        <v>348.0</v>
      </c>
      <c r="B349" s="144" t="s">
        <v>361</v>
      </c>
      <c r="C349" s="144" t="s">
        <v>378</v>
      </c>
      <c r="D349" s="144" t="s">
        <v>387</v>
      </c>
      <c r="E349" s="146">
        <v>0.125</v>
      </c>
    </row>
    <row r="350">
      <c r="A350" s="143">
        <v>349.0</v>
      </c>
      <c r="B350" s="144" t="s">
        <v>361</v>
      </c>
      <c r="C350" s="144" t="s">
        <v>325</v>
      </c>
      <c r="D350" s="147"/>
      <c r="E350" s="146">
        <v>0.135</v>
      </c>
    </row>
    <row r="351">
      <c r="A351" s="143">
        <v>350.0</v>
      </c>
      <c r="B351" s="144" t="s">
        <v>361</v>
      </c>
      <c r="C351" s="144" t="s">
        <v>326</v>
      </c>
      <c r="D351" s="144" t="s">
        <v>388</v>
      </c>
      <c r="E351" s="146">
        <v>0.135</v>
      </c>
    </row>
    <row r="352">
      <c r="A352" s="143">
        <v>351.0</v>
      </c>
      <c r="B352" s="144" t="s">
        <v>361</v>
      </c>
      <c r="C352" s="144" t="s">
        <v>326</v>
      </c>
      <c r="D352" s="144" t="s">
        <v>389</v>
      </c>
      <c r="E352" s="146">
        <v>0.135</v>
      </c>
    </row>
    <row r="353">
      <c r="A353" s="143">
        <v>352.0</v>
      </c>
      <c r="B353" s="144" t="s">
        <v>361</v>
      </c>
      <c r="C353" s="144" t="s">
        <v>326</v>
      </c>
      <c r="D353" s="144" t="s">
        <v>390</v>
      </c>
      <c r="E353" s="146">
        <v>0.135</v>
      </c>
    </row>
    <row r="354">
      <c r="A354" s="143">
        <v>353.0</v>
      </c>
      <c r="B354" s="144" t="s">
        <v>361</v>
      </c>
      <c r="C354" s="144" t="s">
        <v>326</v>
      </c>
      <c r="D354" s="144" t="s">
        <v>391</v>
      </c>
      <c r="E354" s="146">
        <v>0.135</v>
      </c>
    </row>
    <row r="355">
      <c r="A355" s="143">
        <v>354.0</v>
      </c>
      <c r="B355" s="144" t="s">
        <v>361</v>
      </c>
      <c r="C355" s="144" t="s">
        <v>326</v>
      </c>
      <c r="D355" s="144" t="s">
        <v>62</v>
      </c>
      <c r="E355" s="146">
        <v>0.135</v>
      </c>
    </row>
    <row r="356">
      <c r="A356" s="143">
        <v>355.0</v>
      </c>
      <c r="B356" s="144" t="s">
        <v>361</v>
      </c>
      <c r="C356" s="144" t="s">
        <v>326</v>
      </c>
      <c r="D356" s="144" t="s">
        <v>392</v>
      </c>
      <c r="E356" s="146">
        <v>0.135</v>
      </c>
    </row>
    <row r="357">
      <c r="A357" s="143">
        <v>356.0</v>
      </c>
      <c r="B357" s="144" t="s">
        <v>361</v>
      </c>
      <c r="C357" s="144" t="s">
        <v>393</v>
      </c>
      <c r="D357" s="147"/>
      <c r="E357" s="146">
        <v>0.135</v>
      </c>
    </row>
    <row r="358">
      <c r="A358" s="143">
        <v>357.0</v>
      </c>
      <c r="B358" s="144" t="s">
        <v>361</v>
      </c>
      <c r="C358" s="144" t="s">
        <v>394</v>
      </c>
      <c r="D358" s="144" t="s">
        <v>395</v>
      </c>
      <c r="E358" s="146">
        <v>0.125</v>
      </c>
    </row>
    <row r="359">
      <c r="A359" s="143">
        <v>358.0</v>
      </c>
      <c r="B359" s="144" t="s">
        <v>361</v>
      </c>
      <c r="C359" s="144" t="s">
        <v>394</v>
      </c>
      <c r="D359" s="144" t="s">
        <v>396</v>
      </c>
      <c r="E359" s="146">
        <v>0.125</v>
      </c>
    </row>
    <row r="360">
      <c r="A360" s="143">
        <v>359.0</v>
      </c>
      <c r="B360" s="144" t="s">
        <v>361</v>
      </c>
      <c r="C360" s="144" t="s">
        <v>394</v>
      </c>
      <c r="D360" s="144" t="s">
        <v>62</v>
      </c>
      <c r="E360" s="146">
        <v>0.125</v>
      </c>
    </row>
    <row r="361">
      <c r="A361" s="143">
        <v>360.0</v>
      </c>
      <c r="B361" s="144" t="s">
        <v>361</v>
      </c>
      <c r="C361" s="144" t="s">
        <v>394</v>
      </c>
      <c r="D361" s="144" t="s">
        <v>397</v>
      </c>
      <c r="E361" s="146">
        <v>0.125</v>
      </c>
    </row>
    <row r="362">
      <c r="A362" s="143">
        <v>361.0</v>
      </c>
      <c r="B362" s="144" t="s">
        <v>361</v>
      </c>
      <c r="C362" s="144" t="s">
        <v>394</v>
      </c>
      <c r="D362" s="144" t="s">
        <v>398</v>
      </c>
      <c r="E362" s="146">
        <v>0.135</v>
      </c>
    </row>
    <row r="363">
      <c r="A363" s="143">
        <v>362.0</v>
      </c>
      <c r="B363" s="144" t="s">
        <v>361</v>
      </c>
      <c r="C363" s="144" t="s">
        <v>399</v>
      </c>
      <c r="D363" s="147"/>
      <c r="E363" s="146">
        <v>0.135</v>
      </c>
    </row>
    <row r="364">
      <c r="A364" s="143">
        <v>363.0</v>
      </c>
      <c r="B364" s="144" t="s">
        <v>361</v>
      </c>
      <c r="C364" s="144" t="s">
        <v>400</v>
      </c>
      <c r="D364" s="147"/>
      <c r="E364" s="146">
        <v>0.135</v>
      </c>
    </row>
    <row r="365">
      <c r="A365" s="143">
        <v>364.0</v>
      </c>
      <c r="B365" s="144" t="s">
        <v>361</v>
      </c>
      <c r="C365" s="144" t="s">
        <v>62</v>
      </c>
      <c r="D365" s="147"/>
      <c r="E365" s="146">
        <v>0.135</v>
      </c>
    </row>
    <row r="366">
      <c r="A366" s="143">
        <v>365.0</v>
      </c>
      <c r="B366" s="144" t="s">
        <v>361</v>
      </c>
      <c r="C366" s="144" t="s">
        <v>401</v>
      </c>
      <c r="D366" s="147"/>
      <c r="E366" s="146">
        <v>0.125</v>
      </c>
    </row>
    <row r="367">
      <c r="A367" s="143">
        <v>366.0</v>
      </c>
      <c r="B367" s="144" t="s">
        <v>361</v>
      </c>
      <c r="C367" s="144" t="s">
        <v>402</v>
      </c>
      <c r="D367" s="147"/>
      <c r="E367" s="146">
        <v>0.135</v>
      </c>
    </row>
    <row r="368">
      <c r="A368" s="143">
        <v>367.0</v>
      </c>
      <c r="B368" s="144" t="s">
        <v>403</v>
      </c>
      <c r="C368" s="144" t="s">
        <v>404</v>
      </c>
      <c r="D368" s="147"/>
      <c r="E368" s="146">
        <v>0.135</v>
      </c>
    </row>
    <row r="369">
      <c r="A369" s="143">
        <v>368.0</v>
      </c>
      <c r="B369" s="144" t="s">
        <v>403</v>
      </c>
      <c r="C369" s="144" t="s">
        <v>405</v>
      </c>
      <c r="D369" s="147"/>
      <c r="E369" s="146">
        <v>0.125</v>
      </c>
    </row>
    <row r="370">
      <c r="A370" s="143">
        <v>369.0</v>
      </c>
      <c r="B370" s="144" t="s">
        <v>403</v>
      </c>
      <c r="C370" s="144" t="s">
        <v>406</v>
      </c>
      <c r="D370" s="147"/>
      <c r="E370" s="146">
        <v>0.125</v>
      </c>
    </row>
    <row r="371">
      <c r="A371" s="143">
        <v>370.0</v>
      </c>
      <c r="B371" s="144" t="s">
        <v>403</v>
      </c>
      <c r="C371" s="144" t="s">
        <v>407</v>
      </c>
      <c r="D371" s="147"/>
      <c r="E371" s="146">
        <v>0.135</v>
      </c>
    </row>
    <row r="372">
      <c r="A372" s="143">
        <v>371.0</v>
      </c>
      <c r="B372" s="144" t="s">
        <v>403</v>
      </c>
      <c r="C372" s="144" t="s">
        <v>408</v>
      </c>
      <c r="D372" s="144" t="s">
        <v>409</v>
      </c>
      <c r="E372" s="146">
        <v>0.135</v>
      </c>
    </row>
    <row r="373">
      <c r="A373" s="143">
        <v>372.0</v>
      </c>
      <c r="B373" s="144" t="s">
        <v>403</v>
      </c>
      <c r="C373" s="144" t="s">
        <v>408</v>
      </c>
      <c r="D373" s="144" t="s">
        <v>410</v>
      </c>
      <c r="E373" s="146">
        <v>0.135</v>
      </c>
    </row>
    <row r="374">
      <c r="A374" s="143">
        <v>373.0</v>
      </c>
      <c r="B374" s="144" t="s">
        <v>403</v>
      </c>
      <c r="C374" s="144" t="s">
        <v>408</v>
      </c>
      <c r="D374" s="144" t="s">
        <v>411</v>
      </c>
      <c r="E374" s="146">
        <v>0.135</v>
      </c>
    </row>
    <row r="375">
      <c r="A375" s="143">
        <v>374.0</v>
      </c>
      <c r="B375" s="144" t="s">
        <v>403</v>
      </c>
      <c r="C375" s="144" t="s">
        <v>408</v>
      </c>
      <c r="D375" s="144" t="s">
        <v>62</v>
      </c>
      <c r="E375" s="146">
        <v>0.135</v>
      </c>
    </row>
    <row r="376">
      <c r="A376" s="143">
        <v>375.0</v>
      </c>
      <c r="B376" s="144" t="s">
        <v>403</v>
      </c>
      <c r="C376" s="144" t="s">
        <v>62</v>
      </c>
      <c r="D376" s="147"/>
      <c r="E376" s="146">
        <v>0.125</v>
      </c>
    </row>
    <row r="377">
      <c r="A377" s="143">
        <v>376.0</v>
      </c>
      <c r="B377" s="144" t="s">
        <v>403</v>
      </c>
      <c r="C377" s="144" t="s">
        <v>412</v>
      </c>
      <c r="D377" s="147"/>
      <c r="E377" s="146">
        <v>0.125</v>
      </c>
    </row>
    <row r="378">
      <c r="A378" s="143">
        <v>377.0</v>
      </c>
      <c r="B378" s="144" t="s">
        <v>403</v>
      </c>
      <c r="C378" s="144" t="s">
        <v>413</v>
      </c>
      <c r="D378" s="147"/>
      <c r="E378" s="146">
        <v>0.135</v>
      </c>
    </row>
    <row r="379">
      <c r="A379" s="143">
        <v>378.0</v>
      </c>
      <c r="B379" s="144" t="s">
        <v>403</v>
      </c>
      <c r="C379" s="144" t="s">
        <v>414</v>
      </c>
      <c r="D379" s="144" t="s">
        <v>415</v>
      </c>
      <c r="E379" s="146">
        <v>0.125</v>
      </c>
    </row>
    <row r="380">
      <c r="A380" s="143">
        <v>379.0</v>
      </c>
      <c r="B380" s="144" t="s">
        <v>403</v>
      </c>
      <c r="C380" s="144" t="s">
        <v>414</v>
      </c>
      <c r="D380" s="144" t="s">
        <v>416</v>
      </c>
      <c r="E380" s="146">
        <v>0.125</v>
      </c>
    </row>
    <row r="381">
      <c r="A381" s="143">
        <v>380.0</v>
      </c>
      <c r="B381" s="144" t="s">
        <v>403</v>
      </c>
      <c r="C381" s="144" t="s">
        <v>414</v>
      </c>
      <c r="D381" s="144" t="s">
        <v>417</v>
      </c>
      <c r="E381" s="146">
        <v>0.125</v>
      </c>
    </row>
    <row r="382">
      <c r="A382" s="143">
        <v>381.0</v>
      </c>
      <c r="B382" s="144" t="s">
        <v>403</v>
      </c>
      <c r="C382" s="144" t="s">
        <v>414</v>
      </c>
      <c r="D382" s="144" t="s">
        <v>418</v>
      </c>
      <c r="E382" s="146">
        <v>0.125</v>
      </c>
    </row>
    <row r="383">
      <c r="A383" s="143">
        <v>382.0</v>
      </c>
      <c r="B383" s="144" t="s">
        <v>403</v>
      </c>
      <c r="C383" s="144" t="s">
        <v>414</v>
      </c>
      <c r="D383" s="144" t="s">
        <v>419</v>
      </c>
      <c r="E383" s="146">
        <v>0.125</v>
      </c>
    </row>
    <row r="384">
      <c r="A384" s="143">
        <v>383.0</v>
      </c>
      <c r="B384" s="144" t="s">
        <v>403</v>
      </c>
      <c r="C384" s="144" t="s">
        <v>414</v>
      </c>
      <c r="D384" s="144" t="s">
        <v>420</v>
      </c>
      <c r="E384" s="146">
        <v>0.135</v>
      </c>
    </row>
    <row r="385">
      <c r="A385" s="143">
        <v>384.0</v>
      </c>
      <c r="B385" s="144" t="s">
        <v>421</v>
      </c>
      <c r="C385" s="144" t="s">
        <v>346</v>
      </c>
      <c r="D385" s="147"/>
      <c r="E385" s="146">
        <v>0.135</v>
      </c>
    </row>
    <row r="386">
      <c r="A386" s="143">
        <v>385.0</v>
      </c>
      <c r="B386" s="144" t="s">
        <v>421</v>
      </c>
      <c r="C386" s="144" t="s">
        <v>422</v>
      </c>
      <c r="D386" s="144" t="s">
        <v>423</v>
      </c>
      <c r="E386" s="146">
        <v>0.135</v>
      </c>
    </row>
    <row r="387">
      <c r="A387" s="143">
        <v>386.0</v>
      </c>
      <c r="B387" s="144" t="s">
        <v>421</v>
      </c>
      <c r="C387" s="144" t="s">
        <v>422</v>
      </c>
      <c r="D387" s="144" t="s">
        <v>62</v>
      </c>
      <c r="E387" s="146">
        <v>0.135</v>
      </c>
    </row>
    <row r="388">
      <c r="A388" s="143">
        <v>387.0</v>
      </c>
      <c r="B388" s="144" t="s">
        <v>421</v>
      </c>
      <c r="C388" s="144" t="s">
        <v>422</v>
      </c>
      <c r="D388" s="144" t="s">
        <v>424</v>
      </c>
      <c r="E388" s="146">
        <v>0.135</v>
      </c>
    </row>
    <row r="389">
      <c r="A389" s="143">
        <v>388.0</v>
      </c>
      <c r="B389" s="144" t="s">
        <v>421</v>
      </c>
      <c r="C389" s="144" t="s">
        <v>349</v>
      </c>
      <c r="D389" s="144" t="s">
        <v>62</v>
      </c>
      <c r="E389" s="146">
        <v>0.135</v>
      </c>
    </row>
    <row r="390">
      <c r="A390" s="143">
        <v>389.0</v>
      </c>
      <c r="B390" s="144" t="s">
        <v>421</v>
      </c>
      <c r="C390" s="144" t="s">
        <v>349</v>
      </c>
      <c r="D390" s="144" t="s">
        <v>425</v>
      </c>
      <c r="E390" s="146">
        <v>0.135</v>
      </c>
    </row>
    <row r="391">
      <c r="A391" s="143">
        <v>390.0</v>
      </c>
      <c r="B391" s="144" t="s">
        <v>421</v>
      </c>
      <c r="C391" s="144" t="s">
        <v>349</v>
      </c>
      <c r="D391" s="144" t="s">
        <v>426</v>
      </c>
      <c r="E391" s="146">
        <v>0.135</v>
      </c>
    </row>
    <row r="392">
      <c r="A392" s="143">
        <v>391.0</v>
      </c>
      <c r="B392" s="144" t="s">
        <v>421</v>
      </c>
      <c r="C392" s="144" t="s">
        <v>349</v>
      </c>
      <c r="D392" s="144" t="s">
        <v>427</v>
      </c>
      <c r="E392" s="146">
        <v>0.135</v>
      </c>
    </row>
    <row r="393">
      <c r="A393" s="143">
        <v>392.0</v>
      </c>
      <c r="B393" s="144" t="s">
        <v>421</v>
      </c>
      <c r="C393" s="144" t="s">
        <v>349</v>
      </c>
      <c r="D393" s="144" t="s">
        <v>428</v>
      </c>
      <c r="E393" s="146">
        <v>0.135</v>
      </c>
    </row>
    <row r="394">
      <c r="A394" s="143">
        <v>393.0</v>
      </c>
      <c r="B394" s="144" t="s">
        <v>421</v>
      </c>
      <c r="C394" s="144" t="s">
        <v>347</v>
      </c>
      <c r="D394" s="144" t="s">
        <v>347</v>
      </c>
      <c r="E394" s="146">
        <v>0.135</v>
      </c>
    </row>
    <row r="395">
      <c r="A395" s="143">
        <v>394.0</v>
      </c>
      <c r="B395" s="144" t="s">
        <v>421</v>
      </c>
      <c r="C395" s="144" t="s">
        <v>347</v>
      </c>
      <c r="D395" s="144" t="s">
        <v>62</v>
      </c>
      <c r="E395" s="146">
        <v>0.135</v>
      </c>
    </row>
    <row r="396">
      <c r="A396" s="143">
        <v>395.0</v>
      </c>
      <c r="B396" s="144" t="s">
        <v>421</v>
      </c>
      <c r="C396" s="144" t="s">
        <v>347</v>
      </c>
      <c r="D396" s="144" t="s">
        <v>429</v>
      </c>
      <c r="E396" s="146">
        <v>0.135</v>
      </c>
    </row>
    <row r="397">
      <c r="A397" s="143">
        <v>396.0</v>
      </c>
      <c r="B397" s="144" t="s">
        <v>421</v>
      </c>
      <c r="C397" s="144" t="s">
        <v>347</v>
      </c>
      <c r="D397" s="144" t="s">
        <v>430</v>
      </c>
      <c r="E397" s="146">
        <v>0.135</v>
      </c>
    </row>
    <row r="398">
      <c r="A398" s="143">
        <v>397.0</v>
      </c>
      <c r="B398" s="144" t="s">
        <v>421</v>
      </c>
      <c r="C398" s="144" t="s">
        <v>431</v>
      </c>
      <c r="D398" s="147"/>
      <c r="E398" s="146">
        <v>0.135</v>
      </c>
    </row>
    <row r="399">
      <c r="A399" s="143">
        <v>398.0</v>
      </c>
      <c r="B399" s="144" t="s">
        <v>421</v>
      </c>
      <c r="C399" s="144" t="s">
        <v>432</v>
      </c>
      <c r="D399" s="147"/>
      <c r="E399" s="146">
        <v>0.135</v>
      </c>
    </row>
    <row r="400">
      <c r="A400" s="143">
        <v>399.0</v>
      </c>
      <c r="B400" s="144" t="s">
        <v>421</v>
      </c>
      <c r="C400" s="144" t="s">
        <v>62</v>
      </c>
      <c r="D400" s="147"/>
      <c r="E400" s="146">
        <v>0.135</v>
      </c>
    </row>
    <row r="401">
      <c r="A401" s="143">
        <v>400.0</v>
      </c>
      <c r="B401" s="144" t="s">
        <v>421</v>
      </c>
      <c r="C401" s="144" t="s">
        <v>433</v>
      </c>
      <c r="D401" s="144" t="s">
        <v>434</v>
      </c>
      <c r="E401" s="146">
        <v>0.135</v>
      </c>
    </row>
    <row r="402">
      <c r="A402" s="143">
        <v>401.0</v>
      </c>
      <c r="B402" s="144" t="s">
        <v>421</v>
      </c>
      <c r="C402" s="144" t="s">
        <v>433</v>
      </c>
      <c r="D402" s="144" t="s">
        <v>435</v>
      </c>
      <c r="E402" s="146">
        <v>0.135</v>
      </c>
    </row>
    <row r="403">
      <c r="A403" s="143">
        <v>402.0</v>
      </c>
      <c r="B403" s="144" t="s">
        <v>421</v>
      </c>
      <c r="C403" s="144" t="s">
        <v>433</v>
      </c>
      <c r="D403" s="144" t="s">
        <v>62</v>
      </c>
      <c r="E403" s="146">
        <v>0.135</v>
      </c>
    </row>
    <row r="404">
      <c r="A404" s="143">
        <v>403.0</v>
      </c>
      <c r="B404" s="144" t="s">
        <v>421</v>
      </c>
      <c r="C404" s="144" t="s">
        <v>433</v>
      </c>
      <c r="D404" s="144" t="s">
        <v>433</v>
      </c>
      <c r="E404" s="146">
        <v>0.135</v>
      </c>
    </row>
    <row r="405">
      <c r="A405" s="143">
        <v>404.0</v>
      </c>
      <c r="B405" s="144" t="s">
        <v>421</v>
      </c>
      <c r="C405" s="144" t="s">
        <v>436</v>
      </c>
      <c r="D405" s="147"/>
      <c r="E405" s="146">
        <v>0.135</v>
      </c>
    </row>
    <row r="406">
      <c r="A406" s="143">
        <v>405.0</v>
      </c>
      <c r="B406" s="144" t="s">
        <v>421</v>
      </c>
      <c r="C406" s="144" t="s">
        <v>437</v>
      </c>
      <c r="D406" s="147"/>
      <c r="E406" s="146">
        <v>0.135</v>
      </c>
    </row>
    <row r="407">
      <c r="A407" s="143">
        <v>406.0</v>
      </c>
      <c r="B407" s="144" t="s">
        <v>421</v>
      </c>
      <c r="C407" s="144" t="s">
        <v>339</v>
      </c>
      <c r="D407" s="147"/>
      <c r="E407" s="146">
        <v>0.135</v>
      </c>
    </row>
    <row r="408">
      <c r="A408" s="143">
        <v>407.0</v>
      </c>
      <c r="B408" s="144" t="s">
        <v>421</v>
      </c>
      <c r="C408" s="144" t="s">
        <v>438</v>
      </c>
      <c r="D408" s="147"/>
      <c r="E408" s="146">
        <v>0.135</v>
      </c>
    </row>
    <row r="409">
      <c r="A409" s="143">
        <v>408.0</v>
      </c>
      <c r="B409" s="144" t="s">
        <v>421</v>
      </c>
      <c r="C409" s="144" t="s">
        <v>439</v>
      </c>
      <c r="D409" s="144" t="s">
        <v>62</v>
      </c>
      <c r="E409" s="146">
        <v>0.135</v>
      </c>
    </row>
    <row r="410">
      <c r="A410" s="143">
        <v>409.0</v>
      </c>
      <c r="B410" s="144" t="s">
        <v>421</v>
      </c>
      <c r="C410" s="144" t="s">
        <v>439</v>
      </c>
      <c r="D410" s="144" t="s">
        <v>440</v>
      </c>
      <c r="E410" s="146">
        <v>0.135</v>
      </c>
    </row>
    <row r="411">
      <c r="A411" s="143">
        <v>410.0</v>
      </c>
      <c r="B411" s="144" t="s">
        <v>421</v>
      </c>
      <c r="C411" s="144" t="s">
        <v>439</v>
      </c>
      <c r="D411" s="144" t="s">
        <v>441</v>
      </c>
      <c r="E411" s="146">
        <v>0.135</v>
      </c>
    </row>
    <row r="412">
      <c r="A412" s="143">
        <v>411.0</v>
      </c>
      <c r="B412" s="144" t="s">
        <v>421</v>
      </c>
      <c r="C412" s="144" t="s">
        <v>439</v>
      </c>
      <c r="D412" s="144" t="s">
        <v>442</v>
      </c>
      <c r="E412" s="146">
        <v>0.135</v>
      </c>
    </row>
    <row r="413">
      <c r="A413" s="143">
        <v>412.0</v>
      </c>
      <c r="B413" s="144" t="s">
        <v>421</v>
      </c>
      <c r="C413" s="144" t="s">
        <v>439</v>
      </c>
      <c r="D413" s="144" t="s">
        <v>443</v>
      </c>
      <c r="E413" s="146">
        <v>0.135</v>
      </c>
    </row>
    <row r="414">
      <c r="A414" s="143">
        <v>413.0</v>
      </c>
      <c r="B414" s="144" t="s">
        <v>421</v>
      </c>
      <c r="C414" s="144" t="s">
        <v>444</v>
      </c>
      <c r="D414" s="147"/>
      <c r="E414" s="146">
        <v>0.135</v>
      </c>
    </row>
    <row r="415">
      <c r="A415" s="143">
        <v>414.0</v>
      </c>
      <c r="B415" s="144" t="s">
        <v>421</v>
      </c>
      <c r="C415" s="144" t="s">
        <v>341</v>
      </c>
      <c r="D415" s="144" t="s">
        <v>62</v>
      </c>
      <c r="E415" s="146">
        <v>0.135</v>
      </c>
    </row>
    <row r="416">
      <c r="A416" s="143">
        <v>415.0</v>
      </c>
      <c r="B416" s="144" t="s">
        <v>421</v>
      </c>
      <c r="C416" s="144" t="s">
        <v>341</v>
      </c>
      <c r="D416" s="144" t="s">
        <v>445</v>
      </c>
      <c r="E416" s="146">
        <v>0.135</v>
      </c>
    </row>
    <row r="417">
      <c r="A417" s="143">
        <v>416.0</v>
      </c>
      <c r="B417" s="144" t="s">
        <v>421</v>
      </c>
      <c r="C417" s="144" t="s">
        <v>341</v>
      </c>
      <c r="D417" s="144" t="s">
        <v>446</v>
      </c>
      <c r="E417" s="146">
        <v>0.135</v>
      </c>
    </row>
    <row r="418">
      <c r="A418" s="143">
        <v>417.0</v>
      </c>
      <c r="B418" s="144" t="s">
        <v>421</v>
      </c>
      <c r="C418" s="144" t="s">
        <v>341</v>
      </c>
      <c r="D418" s="144" t="s">
        <v>447</v>
      </c>
      <c r="E418" s="146">
        <v>0.135</v>
      </c>
    </row>
    <row r="419">
      <c r="A419" s="143">
        <v>418.0</v>
      </c>
      <c r="B419" s="144" t="s">
        <v>421</v>
      </c>
      <c r="C419" s="144" t="s">
        <v>341</v>
      </c>
      <c r="D419" s="144" t="s">
        <v>448</v>
      </c>
      <c r="E419" s="146">
        <v>0.135</v>
      </c>
    </row>
    <row r="420">
      <c r="A420" s="143">
        <v>419.0</v>
      </c>
      <c r="B420" s="144" t="s">
        <v>421</v>
      </c>
      <c r="C420" s="144" t="s">
        <v>449</v>
      </c>
      <c r="D420" s="144" t="s">
        <v>345</v>
      </c>
      <c r="E420" s="146">
        <v>0.135</v>
      </c>
    </row>
    <row r="421">
      <c r="A421" s="143">
        <v>420.0</v>
      </c>
      <c r="B421" s="144" t="s">
        <v>421</v>
      </c>
      <c r="C421" s="144" t="s">
        <v>449</v>
      </c>
      <c r="D421" s="144" t="s">
        <v>62</v>
      </c>
      <c r="E421" s="146">
        <v>0.135</v>
      </c>
    </row>
    <row r="422">
      <c r="A422" s="143">
        <v>421.0</v>
      </c>
      <c r="B422" s="144" t="s">
        <v>421</v>
      </c>
      <c r="C422" s="144" t="s">
        <v>449</v>
      </c>
      <c r="D422" s="144" t="s">
        <v>436</v>
      </c>
      <c r="E422" s="146">
        <v>0.135</v>
      </c>
    </row>
    <row r="423">
      <c r="A423" s="143">
        <v>422.0</v>
      </c>
      <c r="B423" s="144" t="s">
        <v>421</v>
      </c>
      <c r="C423" s="144" t="s">
        <v>449</v>
      </c>
      <c r="D423" s="144" t="s">
        <v>341</v>
      </c>
      <c r="E423" s="146">
        <v>0.135</v>
      </c>
    </row>
    <row r="424">
      <c r="A424" s="143">
        <v>423.0</v>
      </c>
      <c r="B424" s="144" t="s">
        <v>450</v>
      </c>
      <c r="C424" s="144" t="s">
        <v>351</v>
      </c>
      <c r="D424" s="144" t="s">
        <v>451</v>
      </c>
      <c r="E424" s="146">
        <v>0.125</v>
      </c>
    </row>
    <row r="425">
      <c r="A425" s="143">
        <v>424.0</v>
      </c>
      <c r="B425" s="144" t="s">
        <v>450</v>
      </c>
      <c r="C425" s="144" t="s">
        <v>351</v>
      </c>
      <c r="D425" s="144" t="s">
        <v>62</v>
      </c>
      <c r="E425" s="146">
        <v>0.125</v>
      </c>
    </row>
    <row r="426">
      <c r="A426" s="143">
        <v>425.0</v>
      </c>
      <c r="B426" s="144" t="s">
        <v>450</v>
      </c>
      <c r="C426" s="144" t="s">
        <v>351</v>
      </c>
      <c r="D426" s="144" t="s">
        <v>452</v>
      </c>
      <c r="E426" s="146">
        <v>0.125</v>
      </c>
    </row>
    <row r="427">
      <c r="A427" s="143">
        <v>426.0</v>
      </c>
      <c r="B427" s="144" t="s">
        <v>450</v>
      </c>
      <c r="C427" s="144" t="s">
        <v>351</v>
      </c>
      <c r="D427" s="144" t="s">
        <v>453</v>
      </c>
      <c r="E427" s="146">
        <v>0.125</v>
      </c>
    </row>
    <row r="428">
      <c r="A428" s="143">
        <v>427.0</v>
      </c>
      <c r="B428" s="144" t="s">
        <v>450</v>
      </c>
      <c r="C428" s="144" t="s">
        <v>454</v>
      </c>
      <c r="D428" s="147"/>
      <c r="E428" s="146">
        <v>0.125</v>
      </c>
    </row>
    <row r="429">
      <c r="A429" s="143">
        <v>428.0</v>
      </c>
      <c r="B429" s="144" t="s">
        <v>450</v>
      </c>
      <c r="C429" s="144" t="s">
        <v>62</v>
      </c>
      <c r="D429" s="147"/>
      <c r="E429" s="146">
        <v>0.125</v>
      </c>
    </row>
    <row r="430">
      <c r="A430" s="143">
        <v>429.0</v>
      </c>
      <c r="B430" s="144" t="s">
        <v>450</v>
      </c>
      <c r="C430" s="144" t="s">
        <v>455</v>
      </c>
      <c r="D430" s="147"/>
      <c r="E430" s="146">
        <v>0.125</v>
      </c>
    </row>
    <row r="431">
      <c r="A431" s="143">
        <v>430.0</v>
      </c>
      <c r="B431" s="144" t="s">
        <v>450</v>
      </c>
      <c r="C431" s="144" t="s">
        <v>456</v>
      </c>
      <c r="D431" s="144" t="s">
        <v>457</v>
      </c>
      <c r="E431" s="146">
        <v>0.125</v>
      </c>
    </row>
    <row r="432">
      <c r="A432" s="143">
        <v>431.0</v>
      </c>
      <c r="B432" s="144" t="s">
        <v>450</v>
      </c>
      <c r="C432" s="144" t="s">
        <v>456</v>
      </c>
      <c r="D432" s="144" t="s">
        <v>458</v>
      </c>
      <c r="E432" s="146">
        <v>0.125</v>
      </c>
    </row>
    <row r="433">
      <c r="A433" s="143">
        <v>432.0</v>
      </c>
      <c r="B433" s="144" t="s">
        <v>450</v>
      </c>
      <c r="C433" s="144" t="s">
        <v>456</v>
      </c>
      <c r="D433" s="144" t="s">
        <v>459</v>
      </c>
      <c r="E433" s="146">
        <v>0.125</v>
      </c>
    </row>
    <row r="434">
      <c r="A434" s="143">
        <v>433.0</v>
      </c>
      <c r="B434" s="144" t="s">
        <v>450</v>
      </c>
      <c r="C434" s="144" t="s">
        <v>456</v>
      </c>
      <c r="D434" s="144" t="s">
        <v>62</v>
      </c>
      <c r="E434" s="146">
        <v>0.125</v>
      </c>
    </row>
    <row r="435">
      <c r="A435" s="143">
        <v>434.0</v>
      </c>
      <c r="B435" s="144" t="s">
        <v>450</v>
      </c>
      <c r="C435" s="144" t="s">
        <v>456</v>
      </c>
      <c r="D435" s="144" t="s">
        <v>460</v>
      </c>
      <c r="E435" s="146">
        <v>0.125</v>
      </c>
    </row>
    <row r="436">
      <c r="A436" s="143">
        <v>435.0</v>
      </c>
      <c r="B436" s="144" t="s">
        <v>450</v>
      </c>
      <c r="C436" s="144" t="s">
        <v>461</v>
      </c>
      <c r="D436" s="144" t="s">
        <v>62</v>
      </c>
      <c r="E436" s="146">
        <v>0.125</v>
      </c>
    </row>
    <row r="437">
      <c r="A437" s="143">
        <v>436.0</v>
      </c>
      <c r="B437" s="144" t="s">
        <v>450</v>
      </c>
      <c r="C437" s="144" t="s">
        <v>461</v>
      </c>
      <c r="D437" s="144" t="s">
        <v>462</v>
      </c>
      <c r="E437" s="146">
        <v>0.125</v>
      </c>
    </row>
    <row r="438">
      <c r="A438" s="143">
        <v>437.0</v>
      </c>
      <c r="B438" s="144" t="s">
        <v>450</v>
      </c>
      <c r="C438" s="144" t="s">
        <v>461</v>
      </c>
      <c r="D438" s="144" t="s">
        <v>463</v>
      </c>
      <c r="E438" s="146">
        <v>0.125</v>
      </c>
    </row>
    <row r="439">
      <c r="A439" s="143">
        <v>438.0</v>
      </c>
      <c r="B439" s="144" t="s">
        <v>450</v>
      </c>
      <c r="C439" s="144" t="s">
        <v>461</v>
      </c>
      <c r="D439" s="144" t="s">
        <v>464</v>
      </c>
      <c r="E439" s="146">
        <v>0.125</v>
      </c>
    </row>
    <row r="440">
      <c r="A440" s="143">
        <v>439.0</v>
      </c>
      <c r="B440" s="144" t="s">
        <v>450</v>
      </c>
      <c r="C440" s="144" t="s">
        <v>461</v>
      </c>
      <c r="D440" s="144" t="s">
        <v>465</v>
      </c>
      <c r="E440" s="146">
        <v>0.125</v>
      </c>
    </row>
    <row r="441">
      <c r="A441" s="143">
        <v>440.0</v>
      </c>
      <c r="B441" s="144" t="s">
        <v>450</v>
      </c>
      <c r="C441" s="144" t="s">
        <v>461</v>
      </c>
      <c r="D441" s="144" t="s">
        <v>466</v>
      </c>
      <c r="E441" s="146">
        <v>0.125</v>
      </c>
    </row>
    <row r="442">
      <c r="A442" s="143">
        <v>441.0</v>
      </c>
      <c r="B442" s="144" t="s">
        <v>450</v>
      </c>
      <c r="C442" s="144" t="s">
        <v>467</v>
      </c>
      <c r="D442" s="147"/>
      <c r="E442" s="146">
        <v>0.125</v>
      </c>
    </row>
    <row r="443">
      <c r="A443" s="143">
        <v>442.0</v>
      </c>
      <c r="B443" s="144" t="s">
        <v>450</v>
      </c>
      <c r="C443" s="144" t="s">
        <v>468</v>
      </c>
      <c r="D443" s="147"/>
      <c r="E443" s="146">
        <v>0.125</v>
      </c>
    </row>
    <row r="444">
      <c r="A444" s="143">
        <v>443.0</v>
      </c>
      <c r="B444" s="144" t="s">
        <v>469</v>
      </c>
      <c r="C444" s="144" t="s">
        <v>470</v>
      </c>
      <c r="D444" s="144" t="s">
        <v>471</v>
      </c>
      <c r="E444" s="146">
        <v>0.125</v>
      </c>
    </row>
    <row r="445">
      <c r="A445" s="143">
        <v>444.0</v>
      </c>
      <c r="B445" s="144" t="s">
        <v>469</v>
      </c>
      <c r="C445" s="144" t="s">
        <v>472</v>
      </c>
      <c r="D445" s="144" t="s">
        <v>473</v>
      </c>
      <c r="E445" s="146">
        <v>0.125</v>
      </c>
    </row>
    <row r="446">
      <c r="A446" s="143">
        <v>445.0</v>
      </c>
      <c r="B446" s="144" t="s">
        <v>469</v>
      </c>
      <c r="C446" s="144" t="s">
        <v>474</v>
      </c>
      <c r="D446" s="144" t="s">
        <v>475</v>
      </c>
      <c r="E446" s="146">
        <v>0.125</v>
      </c>
    </row>
    <row r="447">
      <c r="A447" s="143">
        <v>446.0</v>
      </c>
      <c r="B447" s="144" t="s">
        <v>469</v>
      </c>
      <c r="C447" s="144" t="s">
        <v>476</v>
      </c>
      <c r="D447" s="147"/>
      <c r="E447" s="146">
        <v>0.125</v>
      </c>
    </row>
    <row r="448">
      <c r="A448" s="143">
        <v>447.0</v>
      </c>
      <c r="B448" s="144" t="s">
        <v>469</v>
      </c>
      <c r="C448" s="144" t="s">
        <v>477</v>
      </c>
      <c r="D448" s="144" t="s">
        <v>478</v>
      </c>
      <c r="E448" s="146">
        <v>0.125</v>
      </c>
    </row>
    <row r="449">
      <c r="A449" s="143">
        <v>448.0</v>
      </c>
      <c r="B449" s="144" t="s">
        <v>469</v>
      </c>
      <c r="C449" s="144" t="s">
        <v>477</v>
      </c>
      <c r="D449" s="144" t="s">
        <v>479</v>
      </c>
      <c r="E449" s="146">
        <v>0.125</v>
      </c>
    </row>
    <row r="450">
      <c r="A450" s="143">
        <v>449.0</v>
      </c>
      <c r="B450" s="144" t="s">
        <v>469</v>
      </c>
      <c r="C450" s="144" t="s">
        <v>477</v>
      </c>
      <c r="D450" s="144" t="s">
        <v>480</v>
      </c>
      <c r="E450" s="146">
        <v>0.125</v>
      </c>
    </row>
    <row r="451">
      <c r="A451" s="143">
        <v>450.0</v>
      </c>
      <c r="B451" s="144" t="s">
        <v>469</v>
      </c>
      <c r="C451" s="144" t="s">
        <v>477</v>
      </c>
      <c r="D451" s="144" t="s">
        <v>481</v>
      </c>
      <c r="E451" s="146">
        <v>0.125</v>
      </c>
    </row>
    <row r="452">
      <c r="A452" s="143">
        <v>451.0</v>
      </c>
      <c r="B452" s="144" t="s">
        <v>49</v>
      </c>
      <c r="C452" s="144" t="s">
        <v>62</v>
      </c>
      <c r="D452" s="147"/>
      <c r="E452" s="146">
        <v>0.135</v>
      </c>
    </row>
    <row r="453">
      <c r="A453" s="143">
        <v>452.0</v>
      </c>
      <c r="B453" s="144" t="s">
        <v>49</v>
      </c>
      <c r="C453" s="144" t="s">
        <v>482</v>
      </c>
      <c r="D453" s="144" t="s">
        <v>483</v>
      </c>
      <c r="E453" s="146">
        <v>0.135</v>
      </c>
    </row>
    <row r="454">
      <c r="A454" s="143">
        <v>453.0</v>
      </c>
      <c r="B454" s="144" t="s">
        <v>49</v>
      </c>
      <c r="C454" s="144" t="s">
        <v>482</v>
      </c>
      <c r="D454" s="144" t="s">
        <v>484</v>
      </c>
      <c r="E454" s="146">
        <v>0.135</v>
      </c>
    </row>
    <row r="455">
      <c r="A455" s="143">
        <v>454.0</v>
      </c>
      <c r="B455" s="144" t="s">
        <v>49</v>
      </c>
      <c r="C455" s="144" t="s">
        <v>482</v>
      </c>
      <c r="D455" s="144" t="s">
        <v>485</v>
      </c>
      <c r="E455" s="146">
        <v>0.135</v>
      </c>
    </row>
    <row r="456">
      <c r="A456" s="143">
        <v>455.0</v>
      </c>
      <c r="B456" s="144" t="s">
        <v>49</v>
      </c>
      <c r="C456" s="144" t="s">
        <v>482</v>
      </c>
      <c r="D456" s="144" t="s">
        <v>486</v>
      </c>
      <c r="E456" s="146">
        <v>0.135</v>
      </c>
    </row>
    <row r="457">
      <c r="A457" s="143">
        <v>456.0</v>
      </c>
      <c r="B457" s="144" t="s">
        <v>49</v>
      </c>
      <c r="C457" s="144" t="s">
        <v>482</v>
      </c>
      <c r="D457" s="144" t="s">
        <v>487</v>
      </c>
      <c r="E457" s="146">
        <v>0.135</v>
      </c>
    </row>
    <row r="458">
      <c r="A458" s="143">
        <v>457.0</v>
      </c>
      <c r="B458" s="144" t="s">
        <v>49</v>
      </c>
      <c r="C458" s="144" t="s">
        <v>482</v>
      </c>
      <c r="D458" s="144" t="s">
        <v>488</v>
      </c>
      <c r="E458" s="146">
        <v>0.135</v>
      </c>
    </row>
    <row r="459">
      <c r="A459" s="143">
        <v>458.0</v>
      </c>
      <c r="B459" s="144" t="s">
        <v>49</v>
      </c>
      <c r="C459" s="144" t="s">
        <v>482</v>
      </c>
      <c r="D459" s="144" t="s">
        <v>489</v>
      </c>
      <c r="E459" s="146">
        <v>0.135</v>
      </c>
    </row>
    <row r="460">
      <c r="A460" s="143">
        <v>459.0</v>
      </c>
      <c r="B460" s="144" t="s">
        <v>49</v>
      </c>
      <c r="C460" s="144" t="s">
        <v>482</v>
      </c>
      <c r="D460" s="144" t="s">
        <v>490</v>
      </c>
      <c r="E460" s="146">
        <v>0.135</v>
      </c>
    </row>
    <row r="461">
      <c r="A461" s="143">
        <v>460.0</v>
      </c>
      <c r="B461" s="144" t="s">
        <v>49</v>
      </c>
      <c r="C461" s="144" t="s">
        <v>482</v>
      </c>
      <c r="D461" s="144" t="s">
        <v>491</v>
      </c>
      <c r="E461" s="146">
        <v>0.135</v>
      </c>
    </row>
    <row r="462">
      <c r="A462" s="143">
        <v>461.0</v>
      </c>
      <c r="B462" s="144" t="s">
        <v>49</v>
      </c>
      <c r="C462" s="144" t="s">
        <v>482</v>
      </c>
      <c r="D462" s="144" t="s">
        <v>492</v>
      </c>
      <c r="E462" s="146">
        <v>0.135</v>
      </c>
    </row>
    <row r="463">
      <c r="A463" s="143">
        <v>462.0</v>
      </c>
      <c r="B463" s="144" t="s">
        <v>49</v>
      </c>
      <c r="C463" s="144" t="s">
        <v>482</v>
      </c>
      <c r="D463" s="144" t="s">
        <v>493</v>
      </c>
      <c r="E463" s="146">
        <v>0.135</v>
      </c>
    </row>
    <row r="464">
      <c r="A464" s="143">
        <v>463.0</v>
      </c>
      <c r="B464" s="144" t="s">
        <v>49</v>
      </c>
      <c r="C464" s="144" t="s">
        <v>482</v>
      </c>
      <c r="D464" s="144" t="s">
        <v>494</v>
      </c>
      <c r="E464" s="146">
        <v>0.135</v>
      </c>
    </row>
    <row r="465">
      <c r="A465" s="143">
        <v>464.0</v>
      </c>
      <c r="B465" s="144" t="s">
        <v>49</v>
      </c>
      <c r="C465" s="144" t="s">
        <v>495</v>
      </c>
      <c r="D465" s="144" t="s">
        <v>496</v>
      </c>
      <c r="E465" s="146">
        <v>0.135</v>
      </c>
    </row>
    <row r="466">
      <c r="A466" s="143">
        <v>465.0</v>
      </c>
      <c r="B466" s="144" t="s">
        <v>49</v>
      </c>
      <c r="C466" s="144" t="s">
        <v>495</v>
      </c>
      <c r="D466" s="144" t="s">
        <v>497</v>
      </c>
      <c r="E466" s="146">
        <v>0.135</v>
      </c>
    </row>
    <row r="467">
      <c r="A467" s="143">
        <v>466.0</v>
      </c>
      <c r="B467" s="144" t="s">
        <v>49</v>
      </c>
      <c r="C467" s="144" t="s">
        <v>495</v>
      </c>
      <c r="D467" s="144" t="s">
        <v>498</v>
      </c>
      <c r="E467" s="146">
        <v>0.135</v>
      </c>
    </row>
    <row r="468">
      <c r="A468" s="143">
        <v>467.0</v>
      </c>
      <c r="B468" s="144" t="s">
        <v>49</v>
      </c>
      <c r="C468" s="144" t="s">
        <v>495</v>
      </c>
      <c r="D468" s="144" t="s">
        <v>499</v>
      </c>
      <c r="E468" s="146">
        <v>0.135</v>
      </c>
    </row>
    <row r="469">
      <c r="A469" s="143">
        <v>468.0</v>
      </c>
      <c r="B469" s="144" t="s">
        <v>49</v>
      </c>
      <c r="C469" s="144" t="s">
        <v>495</v>
      </c>
      <c r="D469" s="144" t="s">
        <v>62</v>
      </c>
      <c r="E469" s="146">
        <v>0.135</v>
      </c>
    </row>
    <row r="470">
      <c r="A470" s="143">
        <v>469.0</v>
      </c>
      <c r="B470" s="144" t="s">
        <v>49</v>
      </c>
      <c r="C470" s="144" t="s">
        <v>495</v>
      </c>
      <c r="D470" s="144" t="s">
        <v>500</v>
      </c>
      <c r="E470" s="146">
        <v>0.135</v>
      </c>
    </row>
    <row r="471">
      <c r="A471" s="143">
        <v>470.0</v>
      </c>
      <c r="B471" s="144" t="s">
        <v>49</v>
      </c>
      <c r="C471" s="144" t="s">
        <v>495</v>
      </c>
      <c r="D471" s="144" t="s">
        <v>501</v>
      </c>
      <c r="E471" s="146">
        <v>0.135</v>
      </c>
    </row>
    <row r="472">
      <c r="A472" s="143">
        <v>471.0</v>
      </c>
      <c r="B472" s="144" t="s">
        <v>49</v>
      </c>
      <c r="C472" s="144" t="s">
        <v>495</v>
      </c>
      <c r="D472" s="144" t="s">
        <v>502</v>
      </c>
      <c r="E472" s="146">
        <v>0.135</v>
      </c>
    </row>
    <row r="473">
      <c r="A473" s="143">
        <v>472.0</v>
      </c>
      <c r="B473" s="144" t="s">
        <v>49</v>
      </c>
      <c r="C473" s="144" t="s">
        <v>495</v>
      </c>
      <c r="D473" s="144" t="s">
        <v>503</v>
      </c>
      <c r="E473" s="146">
        <v>0.135</v>
      </c>
    </row>
    <row r="474">
      <c r="A474" s="143">
        <v>473.0</v>
      </c>
      <c r="B474" s="144" t="s">
        <v>49</v>
      </c>
      <c r="C474" s="144" t="s">
        <v>50</v>
      </c>
      <c r="D474" s="144" t="s">
        <v>504</v>
      </c>
      <c r="E474" s="146">
        <v>0.125</v>
      </c>
    </row>
    <row r="475">
      <c r="A475" s="143">
        <v>474.0</v>
      </c>
      <c r="B475" s="144" t="s">
        <v>49</v>
      </c>
      <c r="C475" s="144" t="s">
        <v>50</v>
      </c>
      <c r="D475" s="144" t="s">
        <v>505</v>
      </c>
      <c r="E475" s="146">
        <v>0.125</v>
      </c>
    </row>
    <row r="476">
      <c r="A476" s="143">
        <v>475.0</v>
      </c>
      <c r="B476" s="144" t="s">
        <v>49</v>
      </c>
      <c r="C476" s="144" t="s">
        <v>50</v>
      </c>
      <c r="D476" s="144" t="s">
        <v>506</v>
      </c>
      <c r="E476" s="146">
        <v>0.125</v>
      </c>
    </row>
    <row r="477">
      <c r="A477" s="143">
        <v>476.0</v>
      </c>
      <c r="B477" s="144" t="s">
        <v>49</v>
      </c>
      <c r="C477" s="144" t="s">
        <v>50</v>
      </c>
      <c r="D477" s="144" t="s">
        <v>507</v>
      </c>
      <c r="E477" s="146">
        <v>0.125</v>
      </c>
    </row>
    <row r="478">
      <c r="A478" s="143">
        <v>477.0</v>
      </c>
      <c r="B478" s="144" t="s">
        <v>49</v>
      </c>
      <c r="C478" s="144" t="s">
        <v>50</v>
      </c>
      <c r="D478" s="144" t="s">
        <v>508</v>
      </c>
      <c r="E478" s="146">
        <v>0.125</v>
      </c>
    </row>
    <row r="479">
      <c r="A479" s="143">
        <v>478.0</v>
      </c>
      <c r="B479" s="144" t="s">
        <v>49</v>
      </c>
      <c r="C479" s="144" t="s">
        <v>50</v>
      </c>
      <c r="D479" s="144" t="s">
        <v>509</v>
      </c>
      <c r="E479" s="146">
        <v>0.125</v>
      </c>
    </row>
    <row r="480">
      <c r="A480" s="143">
        <v>479.0</v>
      </c>
      <c r="B480" s="144" t="s">
        <v>49</v>
      </c>
      <c r="C480" s="144" t="s">
        <v>50</v>
      </c>
      <c r="D480" s="144" t="s">
        <v>510</v>
      </c>
      <c r="E480" s="146">
        <v>0.125</v>
      </c>
    </row>
    <row r="481">
      <c r="A481" s="143">
        <v>480.0</v>
      </c>
      <c r="B481" s="144" t="s">
        <v>49</v>
      </c>
      <c r="C481" s="144" t="s">
        <v>50</v>
      </c>
      <c r="D481" s="144" t="s">
        <v>511</v>
      </c>
      <c r="E481" s="146">
        <v>0.125</v>
      </c>
    </row>
    <row r="482">
      <c r="A482" s="143">
        <v>481.0</v>
      </c>
      <c r="B482" s="144" t="s">
        <v>49</v>
      </c>
      <c r="C482" s="144" t="s">
        <v>50</v>
      </c>
      <c r="D482" s="144" t="s">
        <v>512</v>
      </c>
      <c r="E482" s="146">
        <v>0.125</v>
      </c>
    </row>
    <row r="483">
      <c r="A483" s="143">
        <v>482.0</v>
      </c>
      <c r="B483" s="144" t="s">
        <v>49</v>
      </c>
      <c r="C483" s="144" t="s">
        <v>50</v>
      </c>
      <c r="D483" s="144" t="s">
        <v>513</v>
      </c>
      <c r="E483" s="146">
        <v>0.125</v>
      </c>
    </row>
    <row r="484">
      <c r="A484" s="143">
        <v>483.0</v>
      </c>
      <c r="B484" s="144" t="s">
        <v>49</v>
      </c>
      <c r="C484" s="144" t="s">
        <v>50</v>
      </c>
      <c r="D484" s="144" t="s">
        <v>514</v>
      </c>
      <c r="E484" s="146">
        <v>0.125</v>
      </c>
    </row>
    <row r="485">
      <c r="A485" s="143">
        <v>484.0</v>
      </c>
      <c r="B485" s="144" t="s">
        <v>49</v>
      </c>
      <c r="C485" s="144" t="s">
        <v>50</v>
      </c>
      <c r="D485" s="144" t="s">
        <v>515</v>
      </c>
      <c r="E485" s="146">
        <v>0.125</v>
      </c>
    </row>
    <row r="486">
      <c r="A486" s="143">
        <v>485.0</v>
      </c>
      <c r="B486" s="144" t="s">
        <v>49</v>
      </c>
      <c r="C486" s="144" t="s">
        <v>50</v>
      </c>
      <c r="D486" s="144" t="s">
        <v>516</v>
      </c>
      <c r="E486" s="146">
        <v>0.125</v>
      </c>
    </row>
    <row r="487">
      <c r="A487" s="143">
        <v>486.0</v>
      </c>
      <c r="B487" s="144" t="s">
        <v>49</v>
      </c>
      <c r="C487" s="144" t="s">
        <v>50</v>
      </c>
      <c r="D487" s="144" t="s">
        <v>517</v>
      </c>
      <c r="E487" s="146">
        <v>0.125</v>
      </c>
    </row>
    <row r="488">
      <c r="A488" s="143">
        <v>487.0</v>
      </c>
      <c r="B488" s="144" t="s">
        <v>49</v>
      </c>
      <c r="C488" s="144" t="s">
        <v>50</v>
      </c>
      <c r="D488" s="144" t="s">
        <v>518</v>
      </c>
      <c r="E488" s="146">
        <v>0.125</v>
      </c>
    </row>
    <row r="489">
      <c r="A489" s="143">
        <v>488.0</v>
      </c>
      <c r="B489" s="144" t="s">
        <v>49</v>
      </c>
      <c r="C489" s="144" t="s">
        <v>50</v>
      </c>
      <c r="D489" s="144" t="s">
        <v>519</v>
      </c>
      <c r="E489" s="146">
        <v>0.125</v>
      </c>
    </row>
    <row r="490">
      <c r="A490" s="143">
        <v>489.0</v>
      </c>
      <c r="B490" s="144" t="s">
        <v>49</v>
      </c>
      <c r="C490" s="144" t="s">
        <v>50</v>
      </c>
      <c r="D490" s="144" t="s">
        <v>520</v>
      </c>
      <c r="E490" s="146">
        <v>0.125</v>
      </c>
    </row>
    <row r="491">
      <c r="A491" s="143">
        <v>490.0</v>
      </c>
      <c r="B491" s="144" t="s">
        <v>49</v>
      </c>
      <c r="C491" s="144" t="s">
        <v>50</v>
      </c>
      <c r="D491" s="144" t="s">
        <v>521</v>
      </c>
      <c r="E491" s="146">
        <v>0.125</v>
      </c>
    </row>
    <row r="492">
      <c r="A492" s="143">
        <v>491.0</v>
      </c>
      <c r="B492" s="144" t="s">
        <v>49</v>
      </c>
      <c r="C492" s="144" t="s">
        <v>50</v>
      </c>
      <c r="D492" s="144" t="s">
        <v>522</v>
      </c>
      <c r="E492" s="146">
        <v>0.125</v>
      </c>
    </row>
    <row r="493">
      <c r="A493" s="143">
        <v>492.0</v>
      </c>
      <c r="B493" s="144" t="s">
        <v>49</v>
      </c>
      <c r="C493" s="144" t="s">
        <v>50</v>
      </c>
      <c r="D493" s="144" t="s">
        <v>523</v>
      </c>
      <c r="E493" s="146">
        <v>0.125</v>
      </c>
    </row>
    <row r="494">
      <c r="A494" s="143">
        <v>493.0</v>
      </c>
      <c r="B494" s="144" t="s">
        <v>49</v>
      </c>
      <c r="C494" s="144" t="s">
        <v>50</v>
      </c>
      <c r="D494" s="144" t="s">
        <v>524</v>
      </c>
      <c r="E494" s="146">
        <v>0.125</v>
      </c>
    </row>
    <row r="495">
      <c r="A495" s="143">
        <v>494.0</v>
      </c>
      <c r="B495" s="144" t="s">
        <v>49</v>
      </c>
      <c r="C495" s="144" t="s">
        <v>50</v>
      </c>
      <c r="D495" s="144" t="s">
        <v>525</v>
      </c>
      <c r="E495" s="146">
        <v>0.125</v>
      </c>
    </row>
    <row r="496">
      <c r="A496" s="143">
        <v>495.0</v>
      </c>
      <c r="B496" s="144" t="s">
        <v>49</v>
      </c>
      <c r="C496" s="144" t="s">
        <v>50</v>
      </c>
      <c r="D496" s="144" t="s">
        <v>526</v>
      </c>
      <c r="E496" s="146">
        <v>0.125</v>
      </c>
    </row>
    <row r="497">
      <c r="A497" s="143">
        <v>496.0</v>
      </c>
      <c r="B497" s="144" t="s">
        <v>49</v>
      </c>
      <c r="C497" s="144" t="s">
        <v>50</v>
      </c>
      <c r="D497" s="144" t="s">
        <v>527</v>
      </c>
      <c r="E497" s="146">
        <v>0.125</v>
      </c>
    </row>
    <row r="498">
      <c r="A498" s="143">
        <v>497.0</v>
      </c>
      <c r="B498" s="144" t="s">
        <v>49</v>
      </c>
      <c r="C498" s="144" t="s">
        <v>50</v>
      </c>
      <c r="D498" s="144" t="s">
        <v>528</v>
      </c>
      <c r="E498" s="146">
        <v>0.125</v>
      </c>
    </row>
    <row r="499">
      <c r="A499" s="143">
        <v>498.0</v>
      </c>
      <c r="B499" s="144" t="s">
        <v>49</v>
      </c>
      <c r="C499" s="144" t="s">
        <v>50</v>
      </c>
      <c r="D499" s="144" t="s">
        <v>529</v>
      </c>
      <c r="E499" s="146">
        <v>0.125</v>
      </c>
    </row>
    <row r="500">
      <c r="A500" s="143">
        <v>499.0</v>
      </c>
      <c r="B500" s="144" t="s">
        <v>49</v>
      </c>
      <c r="C500" s="144" t="s">
        <v>50</v>
      </c>
      <c r="D500" s="144" t="s">
        <v>530</v>
      </c>
      <c r="E500" s="146">
        <v>0.125</v>
      </c>
    </row>
    <row r="501">
      <c r="A501" s="143">
        <v>500.0</v>
      </c>
      <c r="B501" s="144" t="s">
        <v>49</v>
      </c>
      <c r="C501" s="144" t="s">
        <v>531</v>
      </c>
      <c r="D501" s="144" t="s">
        <v>532</v>
      </c>
      <c r="E501" s="146">
        <v>0.125</v>
      </c>
    </row>
    <row r="502">
      <c r="A502" s="143">
        <v>501.0</v>
      </c>
      <c r="B502" s="144" t="s">
        <v>49</v>
      </c>
      <c r="C502" s="144" t="s">
        <v>531</v>
      </c>
      <c r="D502" s="144" t="s">
        <v>533</v>
      </c>
      <c r="E502" s="146">
        <v>0.125</v>
      </c>
    </row>
    <row r="503">
      <c r="A503" s="143">
        <v>502.0</v>
      </c>
      <c r="B503" s="144" t="s">
        <v>49</v>
      </c>
      <c r="C503" s="144" t="s">
        <v>531</v>
      </c>
      <c r="D503" s="144" t="s">
        <v>534</v>
      </c>
      <c r="E503" s="146">
        <v>0.125</v>
      </c>
    </row>
    <row r="504">
      <c r="A504" s="143">
        <v>503.0</v>
      </c>
      <c r="B504" s="144" t="s">
        <v>49</v>
      </c>
      <c r="C504" s="144" t="s">
        <v>531</v>
      </c>
      <c r="D504" s="144" t="s">
        <v>535</v>
      </c>
      <c r="E504" s="146">
        <v>0.125</v>
      </c>
    </row>
    <row r="505">
      <c r="A505" s="143">
        <v>504.0</v>
      </c>
      <c r="B505" s="144" t="s">
        <v>49</v>
      </c>
      <c r="C505" s="144" t="s">
        <v>531</v>
      </c>
      <c r="D505" s="144" t="s">
        <v>536</v>
      </c>
      <c r="E505" s="146">
        <v>0.125</v>
      </c>
    </row>
    <row r="506">
      <c r="A506" s="143">
        <v>505.0</v>
      </c>
      <c r="B506" s="144" t="s">
        <v>49</v>
      </c>
      <c r="C506" s="144" t="s">
        <v>531</v>
      </c>
      <c r="D506" s="144" t="s">
        <v>537</v>
      </c>
      <c r="E506" s="146">
        <v>0.125</v>
      </c>
    </row>
    <row r="507">
      <c r="A507" s="143">
        <v>506.0</v>
      </c>
      <c r="B507" s="144" t="s">
        <v>49</v>
      </c>
      <c r="C507" s="144" t="s">
        <v>531</v>
      </c>
      <c r="D507" s="144" t="s">
        <v>538</v>
      </c>
      <c r="E507" s="146">
        <v>0.125</v>
      </c>
    </row>
    <row r="508">
      <c r="A508" s="143">
        <v>507.0</v>
      </c>
      <c r="B508" s="144" t="s">
        <v>49</v>
      </c>
      <c r="C508" s="144" t="s">
        <v>531</v>
      </c>
      <c r="D508" s="144" t="s">
        <v>539</v>
      </c>
      <c r="E508" s="146">
        <v>0.125</v>
      </c>
    </row>
    <row r="509">
      <c r="A509" s="143">
        <v>508.0</v>
      </c>
      <c r="B509" s="144" t="s">
        <v>49</v>
      </c>
      <c r="C509" s="144" t="s">
        <v>531</v>
      </c>
      <c r="D509" s="144" t="s">
        <v>540</v>
      </c>
      <c r="E509" s="146">
        <v>0.125</v>
      </c>
    </row>
    <row r="510">
      <c r="A510" s="143">
        <v>509.0</v>
      </c>
      <c r="B510" s="144" t="s">
        <v>49</v>
      </c>
      <c r="C510" s="144" t="s">
        <v>531</v>
      </c>
      <c r="D510" s="144" t="s">
        <v>541</v>
      </c>
      <c r="E510" s="146">
        <v>0.125</v>
      </c>
    </row>
    <row r="511">
      <c r="A511" s="143">
        <v>510.0</v>
      </c>
      <c r="B511" s="144" t="s">
        <v>49</v>
      </c>
      <c r="C511" s="144" t="s">
        <v>531</v>
      </c>
      <c r="D511" s="144" t="s">
        <v>542</v>
      </c>
      <c r="E511" s="146">
        <v>0.125</v>
      </c>
    </row>
    <row r="512">
      <c r="A512" s="143">
        <v>511.0</v>
      </c>
      <c r="B512" s="144" t="s">
        <v>543</v>
      </c>
      <c r="C512" s="144" t="s">
        <v>544</v>
      </c>
      <c r="D512" s="147"/>
      <c r="E512" s="146">
        <v>0.125</v>
      </c>
    </row>
    <row r="513">
      <c r="A513" s="143">
        <v>512.0</v>
      </c>
      <c r="B513" s="144" t="s">
        <v>543</v>
      </c>
      <c r="C513" s="144" t="s">
        <v>62</v>
      </c>
      <c r="D513" s="147"/>
      <c r="E513" s="146">
        <v>0.135</v>
      </c>
    </row>
    <row r="514">
      <c r="A514" s="143">
        <v>513.0</v>
      </c>
      <c r="B514" s="144" t="s">
        <v>543</v>
      </c>
      <c r="C514" s="144" t="s">
        <v>545</v>
      </c>
      <c r="D514" s="144" t="s">
        <v>546</v>
      </c>
      <c r="E514" s="146">
        <v>0.135</v>
      </c>
    </row>
    <row r="515">
      <c r="A515" s="143">
        <v>514.0</v>
      </c>
      <c r="B515" s="144" t="s">
        <v>543</v>
      </c>
      <c r="C515" s="144" t="s">
        <v>545</v>
      </c>
      <c r="D515" s="144" t="s">
        <v>547</v>
      </c>
      <c r="E515" s="146">
        <v>0.135</v>
      </c>
    </row>
    <row r="516">
      <c r="A516" s="143">
        <v>515.0</v>
      </c>
      <c r="B516" s="144" t="s">
        <v>543</v>
      </c>
      <c r="C516" s="144" t="s">
        <v>545</v>
      </c>
      <c r="D516" s="144" t="s">
        <v>548</v>
      </c>
      <c r="E516" s="146">
        <v>0.135</v>
      </c>
    </row>
    <row r="517">
      <c r="A517" s="143">
        <v>516.0</v>
      </c>
      <c r="B517" s="144" t="s">
        <v>543</v>
      </c>
      <c r="C517" s="144" t="s">
        <v>545</v>
      </c>
      <c r="D517" s="144" t="s">
        <v>549</v>
      </c>
      <c r="E517" s="146">
        <v>0.135</v>
      </c>
    </row>
    <row r="518">
      <c r="A518" s="143">
        <v>517.0</v>
      </c>
      <c r="B518" s="144" t="s">
        <v>543</v>
      </c>
      <c r="C518" s="144" t="s">
        <v>545</v>
      </c>
      <c r="D518" s="144" t="s">
        <v>550</v>
      </c>
      <c r="E518" s="146">
        <v>0.135</v>
      </c>
    </row>
    <row r="519">
      <c r="A519" s="143">
        <v>518.0</v>
      </c>
      <c r="B519" s="144" t="s">
        <v>543</v>
      </c>
      <c r="C519" s="144" t="s">
        <v>545</v>
      </c>
      <c r="D519" s="144" t="s">
        <v>551</v>
      </c>
      <c r="E519" s="146">
        <v>0.135</v>
      </c>
    </row>
    <row r="520">
      <c r="A520" s="143">
        <v>519.0</v>
      </c>
      <c r="B520" s="144" t="s">
        <v>543</v>
      </c>
      <c r="C520" s="144" t="s">
        <v>545</v>
      </c>
      <c r="D520" s="144" t="s">
        <v>552</v>
      </c>
      <c r="E520" s="146">
        <v>0.135</v>
      </c>
    </row>
    <row r="521">
      <c r="A521" s="143">
        <v>520.0</v>
      </c>
      <c r="B521" s="144" t="s">
        <v>543</v>
      </c>
      <c r="C521" s="144" t="s">
        <v>545</v>
      </c>
      <c r="D521" s="144" t="s">
        <v>553</v>
      </c>
      <c r="E521" s="146">
        <v>0.135</v>
      </c>
    </row>
    <row r="522">
      <c r="A522" s="143">
        <v>521.0</v>
      </c>
      <c r="B522" s="144" t="s">
        <v>543</v>
      </c>
      <c r="C522" s="144" t="s">
        <v>545</v>
      </c>
      <c r="D522" s="144" t="s">
        <v>554</v>
      </c>
      <c r="E522" s="146">
        <v>0.135</v>
      </c>
    </row>
    <row r="523">
      <c r="A523" s="143">
        <v>522.0</v>
      </c>
      <c r="B523" s="144" t="s">
        <v>543</v>
      </c>
      <c r="C523" s="144" t="s">
        <v>545</v>
      </c>
      <c r="D523" s="144" t="s">
        <v>555</v>
      </c>
      <c r="E523" s="146">
        <v>0.135</v>
      </c>
    </row>
    <row r="524">
      <c r="A524" s="143">
        <v>523.0</v>
      </c>
      <c r="B524" s="144" t="s">
        <v>543</v>
      </c>
      <c r="C524" s="144" t="s">
        <v>556</v>
      </c>
      <c r="D524" s="144" t="s">
        <v>557</v>
      </c>
      <c r="E524" s="146">
        <v>0.135</v>
      </c>
    </row>
    <row r="525">
      <c r="A525" s="143">
        <v>524.0</v>
      </c>
      <c r="B525" s="144" t="s">
        <v>543</v>
      </c>
      <c r="C525" s="144" t="s">
        <v>556</v>
      </c>
      <c r="D525" s="144" t="s">
        <v>558</v>
      </c>
      <c r="E525" s="146">
        <v>0.135</v>
      </c>
    </row>
    <row r="526">
      <c r="A526" s="143">
        <v>525.0</v>
      </c>
      <c r="B526" s="144" t="s">
        <v>543</v>
      </c>
      <c r="C526" s="144" t="s">
        <v>556</v>
      </c>
      <c r="D526" s="144" t="s">
        <v>559</v>
      </c>
      <c r="E526" s="146">
        <v>0.135</v>
      </c>
    </row>
    <row r="527">
      <c r="A527" s="143">
        <v>526.0</v>
      </c>
      <c r="B527" s="144" t="s">
        <v>543</v>
      </c>
      <c r="C527" s="144" t="s">
        <v>556</v>
      </c>
      <c r="D527" s="144" t="s">
        <v>560</v>
      </c>
      <c r="E527" s="146">
        <v>0.135</v>
      </c>
    </row>
    <row r="528">
      <c r="A528" s="143">
        <v>527.0</v>
      </c>
      <c r="B528" s="144" t="s">
        <v>561</v>
      </c>
      <c r="C528" s="144" t="s">
        <v>562</v>
      </c>
      <c r="D528" s="147"/>
      <c r="E528" s="146">
        <v>0.125</v>
      </c>
    </row>
    <row r="529">
      <c r="A529" s="143">
        <v>528.0</v>
      </c>
      <c r="B529" s="144" t="s">
        <v>561</v>
      </c>
      <c r="C529" s="144" t="s">
        <v>62</v>
      </c>
      <c r="D529" s="147"/>
      <c r="E529" s="146">
        <v>0.125</v>
      </c>
    </row>
    <row r="530">
      <c r="A530" s="143">
        <v>529.0</v>
      </c>
      <c r="B530" s="144" t="s">
        <v>561</v>
      </c>
      <c r="C530" s="144" t="s">
        <v>563</v>
      </c>
      <c r="D530" s="147"/>
      <c r="E530" s="146">
        <v>0.125</v>
      </c>
    </row>
    <row r="531">
      <c r="A531" s="143">
        <v>530.0</v>
      </c>
      <c r="B531" s="144" t="s">
        <v>561</v>
      </c>
      <c r="C531" s="144" t="s">
        <v>564</v>
      </c>
      <c r="D531" s="144" t="s">
        <v>565</v>
      </c>
      <c r="E531" s="146">
        <v>0.125</v>
      </c>
    </row>
    <row r="532">
      <c r="A532" s="143">
        <v>531.0</v>
      </c>
      <c r="B532" s="144" t="s">
        <v>561</v>
      </c>
      <c r="C532" s="144" t="s">
        <v>564</v>
      </c>
      <c r="D532" s="144" t="s">
        <v>566</v>
      </c>
      <c r="E532" s="146">
        <v>0.125</v>
      </c>
    </row>
    <row r="533">
      <c r="A533" s="143">
        <v>532.0</v>
      </c>
      <c r="B533" s="144" t="s">
        <v>561</v>
      </c>
      <c r="C533" s="144" t="s">
        <v>564</v>
      </c>
      <c r="D533" s="144" t="s">
        <v>567</v>
      </c>
      <c r="E533" s="146">
        <v>0.125</v>
      </c>
    </row>
    <row r="534">
      <c r="A534" s="143">
        <v>533.0</v>
      </c>
      <c r="B534" s="144" t="s">
        <v>561</v>
      </c>
      <c r="C534" s="144" t="s">
        <v>564</v>
      </c>
      <c r="D534" s="144" t="s">
        <v>62</v>
      </c>
      <c r="E534" s="146">
        <v>0.125</v>
      </c>
    </row>
    <row r="535">
      <c r="A535" s="143">
        <v>534.0</v>
      </c>
      <c r="B535" s="144" t="s">
        <v>561</v>
      </c>
      <c r="C535" s="144" t="s">
        <v>564</v>
      </c>
      <c r="D535" s="144" t="s">
        <v>568</v>
      </c>
      <c r="E535" s="146">
        <v>0.125</v>
      </c>
    </row>
    <row r="536">
      <c r="A536" s="143">
        <v>535.0</v>
      </c>
      <c r="B536" s="144" t="s">
        <v>561</v>
      </c>
      <c r="C536" s="144" t="s">
        <v>564</v>
      </c>
      <c r="D536" s="144" t="s">
        <v>569</v>
      </c>
      <c r="E536" s="146">
        <v>0.125</v>
      </c>
    </row>
    <row r="537">
      <c r="A537" s="143">
        <v>536.0</v>
      </c>
      <c r="B537" s="144" t="s">
        <v>561</v>
      </c>
      <c r="C537" s="144" t="s">
        <v>570</v>
      </c>
      <c r="D537" s="147"/>
      <c r="E537" s="146">
        <v>0.125</v>
      </c>
    </row>
    <row r="538">
      <c r="A538" s="143">
        <v>537.0</v>
      </c>
      <c r="B538" s="144" t="s">
        <v>571</v>
      </c>
      <c r="C538" s="144" t="s">
        <v>404</v>
      </c>
      <c r="D538" s="147"/>
      <c r="E538" s="146">
        <v>0.135</v>
      </c>
    </row>
    <row r="539">
      <c r="A539" s="143">
        <v>538.0</v>
      </c>
      <c r="B539" s="144" t="s">
        <v>571</v>
      </c>
      <c r="C539" s="144" t="s">
        <v>572</v>
      </c>
      <c r="D539" s="144" t="s">
        <v>573</v>
      </c>
      <c r="E539" s="146">
        <v>0.135</v>
      </c>
    </row>
    <row r="540">
      <c r="A540" s="143">
        <v>539.0</v>
      </c>
      <c r="B540" s="144" t="s">
        <v>571</v>
      </c>
      <c r="C540" s="144" t="s">
        <v>572</v>
      </c>
      <c r="D540" s="144" t="s">
        <v>574</v>
      </c>
      <c r="E540" s="146">
        <v>0.135</v>
      </c>
    </row>
    <row r="541">
      <c r="A541" s="143">
        <v>540.0</v>
      </c>
      <c r="B541" s="144" t="s">
        <v>571</v>
      </c>
      <c r="C541" s="144" t="s">
        <v>572</v>
      </c>
      <c r="D541" s="144" t="s">
        <v>575</v>
      </c>
      <c r="E541" s="146">
        <v>0.135</v>
      </c>
    </row>
    <row r="542">
      <c r="A542" s="143">
        <v>541.0</v>
      </c>
      <c r="B542" s="144" t="s">
        <v>571</v>
      </c>
      <c r="C542" s="144" t="s">
        <v>572</v>
      </c>
      <c r="D542" s="144" t="s">
        <v>576</v>
      </c>
      <c r="E542" s="146">
        <v>0.135</v>
      </c>
    </row>
    <row r="543">
      <c r="A543" s="143">
        <v>542.0</v>
      </c>
      <c r="B543" s="144" t="s">
        <v>571</v>
      </c>
      <c r="C543" s="144" t="s">
        <v>572</v>
      </c>
      <c r="D543" s="144" t="s">
        <v>577</v>
      </c>
      <c r="E543" s="146">
        <v>0.135</v>
      </c>
    </row>
    <row r="544">
      <c r="A544" s="143">
        <v>543.0</v>
      </c>
      <c r="B544" s="144" t="s">
        <v>571</v>
      </c>
      <c r="C544" s="144" t="s">
        <v>572</v>
      </c>
      <c r="D544" s="144" t="s">
        <v>551</v>
      </c>
      <c r="E544" s="146">
        <v>0.135</v>
      </c>
    </row>
    <row r="545">
      <c r="A545" s="143">
        <v>544.0</v>
      </c>
      <c r="B545" s="144" t="s">
        <v>571</v>
      </c>
      <c r="C545" s="144" t="s">
        <v>578</v>
      </c>
      <c r="D545" s="147"/>
      <c r="E545" s="146">
        <v>0.135</v>
      </c>
    </row>
    <row r="546">
      <c r="A546" s="143">
        <v>545.0</v>
      </c>
      <c r="B546" s="144" t="s">
        <v>571</v>
      </c>
      <c r="C546" s="144" t="s">
        <v>579</v>
      </c>
      <c r="D546" s="147"/>
      <c r="E546" s="146">
        <v>0.125</v>
      </c>
    </row>
    <row r="547">
      <c r="A547" s="143">
        <v>546.0</v>
      </c>
      <c r="B547" s="144" t="s">
        <v>571</v>
      </c>
      <c r="C547" s="144" t="s">
        <v>408</v>
      </c>
      <c r="D547" s="144" t="s">
        <v>409</v>
      </c>
      <c r="E547" s="146">
        <v>0.135</v>
      </c>
    </row>
    <row r="548">
      <c r="A548" s="143">
        <v>547.0</v>
      </c>
      <c r="B548" s="144" t="s">
        <v>571</v>
      </c>
      <c r="C548" s="144" t="s">
        <v>408</v>
      </c>
      <c r="D548" s="144" t="s">
        <v>580</v>
      </c>
      <c r="E548" s="146">
        <v>0.135</v>
      </c>
    </row>
    <row r="549">
      <c r="A549" s="143">
        <v>548.0</v>
      </c>
      <c r="B549" s="144" t="s">
        <v>571</v>
      </c>
      <c r="C549" s="144" t="s">
        <v>408</v>
      </c>
      <c r="D549" s="144" t="s">
        <v>411</v>
      </c>
      <c r="E549" s="146">
        <v>0.135</v>
      </c>
    </row>
    <row r="550">
      <c r="A550" s="143">
        <v>549.0</v>
      </c>
      <c r="B550" s="144" t="s">
        <v>571</v>
      </c>
      <c r="C550" s="144" t="s">
        <v>408</v>
      </c>
      <c r="D550" s="144" t="s">
        <v>62</v>
      </c>
      <c r="E550" s="146">
        <v>0.135</v>
      </c>
    </row>
    <row r="551">
      <c r="A551" s="143">
        <v>550.0</v>
      </c>
      <c r="B551" s="144" t="s">
        <v>571</v>
      </c>
      <c r="C551" s="144" t="s">
        <v>62</v>
      </c>
      <c r="D551" s="147"/>
      <c r="E551" s="146">
        <v>0.135</v>
      </c>
    </row>
    <row r="552">
      <c r="A552" s="143">
        <v>551.0</v>
      </c>
      <c r="B552" s="144" t="s">
        <v>571</v>
      </c>
      <c r="C552" s="144" t="s">
        <v>581</v>
      </c>
      <c r="D552" s="147"/>
      <c r="E552" s="146">
        <v>0.125</v>
      </c>
    </row>
    <row r="553">
      <c r="A553" s="143">
        <v>552.0</v>
      </c>
      <c r="B553" s="144" t="s">
        <v>571</v>
      </c>
      <c r="C553" s="144" t="s">
        <v>412</v>
      </c>
      <c r="D553" s="147"/>
      <c r="E553" s="146">
        <v>0.135</v>
      </c>
    </row>
    <row r="554">
      <c r="A554" s="143">
        <v>553.0</v>
      </c>
      <c r="B554" s="144" t="s">
        <v>571</v>
      </c>
      <c r="C554" s="144" t="s">
        <v>413</v>
      </c>
      <c r="D554" s="147"/>
      <c r="E554" s="146">
        <v>0.135</v>
      </c>
    </row>
    <row r="555">
      <c r="A555" s="143">
        <v>554.0</v>
      </c>
      <c r="B555" s="144" t="s">
        <v>571</v>
      </c>
      <c r="C555" s="144" t="s">
        <v>582</v>
      </c>
      <c r="D555" s="144" t="s">
        <v>583</v>
      </c>
      <c r="E555" s="146">
        <v>0.135</v>
      </c>
    </row>
    <row r="556">
      <c r="A556" s="143">
        <v>555.0</v>
      </c>
      <c r="B556" s="144" t="s">
        <v>571</v>
      </c>
      <c r="C556" s="144" t="s">
        <v>582</v>
      </c>
      <c r="D556" s="144" t="s">
        <v>416</v>
      </c>
      <c r="E556" s="146">
        <v>0.135</v>
      </c>
    </row>
    <row r="557">
      <c r="A557" s="143">
        <v>556.0</v>
      </c>
      <c r="B557" s="144" t="s">
        <v>571</v>
      </c>
      <c r="C557" s="144" t="s">
        <v>582</v>
      </c>
      <c r="D557" s="144" t="s">
        <v>584</v>
      </c>
      <c r="E557" s="146">
        <v>0.135</v>
      </c>
    </row>
    <row r="558">
      <c r="A558" s="143">
        <v>557.0</v>
      </c>
      <c r="B558" s="144" t="s">
        <v>571</v>
      </c>
      <c r="C558" s="144" t="s">
        <v>582</v>
      </c>
      <c r="D558" s="144" t="s">
        <v>418</v>
      </c>
      <c r="E558" s="146">
        <v>0.135</v>
      </c>
    </row>
    <row r="559">
      <c r="A559" s="143">
        <v>558.0</v>
      </c>
      <c r="B559" s="144" t="s">
        <v>571</v>
      </c>
      <c r="C559" s="144" t="s">
        <v>582</v>
      </c>
      <c r="D559" s="144" t="s">
        <v>419</v>
      </c>
      <c r="E559" s="146">
        <v>0.135</v>
      </c>
    </row>
    <row r="560">
      <c r="A560" s="143">
        <v>559.0</v>
      </c>
      <c r="B560" s="144" t="s">
        <v>571</v>
      </c>
      <c r="C560" s="144" t="s">
        <v>582</v>
      </c>
      <c r="D560" s="144" t="s">
        <v>420</v>
      </c>
      <c r="E560" s="146">
        <v>0.135</v>
      </c>
    </row>
    <row r="561">
      <c r="A561" s="143">
        <v>560.0</v>
      </c>
      <c r="B561" s="144" t="s">
        <v>585</v>
      </c>
      <c r="C561" s="144" t="s">
        <v>346</v>
      </c>
      <c r="D561" s="147"/>
      <c r="E561" s="146">
        <v>0.135</v>
      </c>
    </row>
    <row r="562">
      <c r="A562" s="143">
        <v>561.0</v>
      </c>
      <c r="B562" s="144" t="s">
        <v>585</v>
      </c>
      <c r="C562" s="144" t="s">
        <v>586</v>
      </c>
      <c r="D562" s="147"/>
      <c r="E562" s="146">
        <v>0.135</v>
      </c>
    </row>
    <row r="563">
      <c r="A563" s="143">
        <v>562.0</v>
      </c>
      <c r="B563" s="144" t="s">
        <v>585</v>
      </c>
      <c r="C563" s="144" t="s">
        <v>587</v>
      </c>
      <c r="D563" s="144" t="s">
        <v>588</v>
      </c>
      <c r="E563" s="146">
        <v>0.125</v>
      </c>
    </row>
    <row r="564">
      <c r="A564" s="143">
        <v>563.0</v>
      </c>
      <c r="B564" s="144" t="s">
        <v>585</v>
      </c>
      <c r="C564" s="144" t="s">
        <v>587</v>
      </c>
      <c r="D564" s="144" t="s">
        <v>589</v>
      </c>
      <c r="E564" s="146">
        <v>0.125</v>
      </c>
    </row>
    <row r="565">
      <c r="A565" s="143">
        <v>564.0</v>
      </c>
      <c r="B565" s="144" t="s">
        <v>585</v>
      </c>
      <c r="C565" s="144" t="s">
        <v>587</v>
      </c>
      <c r="D565" s="144" t="s">
        <v>590</v>
      </c>
      <c r="E565" s="146">
        <v>0.125</v>
      </c>
    </row>
    <row r="566">
      <c r="A566" s="143">
        <v>565.0</v>
      </c>
      <c r="B566" s="144" t="s">
        <v>585</v>
      </c>
      <c r="C566" s="144" t="s">
        <v>587</v>
      </c>
      <c r="D566" s="144" t="s">
        <v>591</v>
      </c>
      <c r="E566" s="146">
        <v>0.125</v>
      </c>
    </row>
    <row r="567">
      <c r="A567" s="143">
        <v>566.0</v>
      </c>
      <c r="B567" s="144" t="s">
        <v>585</v>
      </c>
      <c r="C567" s="144" t="s">
        <v>587</v>
      </c>
      <c r="D567" s="144" t="s">
        <v>592</v>
      </c>
      <c r="E567" s="146">
        <v>0.125</v>
      </c>
    </row>
    <row r="568">
      <c r="A568" s="143">
        <v>567.0</v>
      </c>
      <c r="B568" s="144" t="s">
        <v>585</v>
      </c>
      <c r="C568" s="144" t="s">
        <v>587</v>
      </c>
      <c r="D568" s="144" t="s">
        <v>62</v>
      </c>
      <c r="E568" s="146">
        <v>0.125</v>
      </c>
    </row>
    <row r="569">
      <c r="A569" s="143">
        <v>568.0</v>
      </c>
      <c r="B569" s="144" t="s">
        <v>585</v>
      </c>
      <c r="C569" s="144" t="s">
        <v>587</v>
      </c>
      <c r="D569" s="144" t="s">
        <v>593</v>
      </c>
      <c r="E569" s="146">
        <v>0.125</v>
      </c>
    </row>
    <row r="570">
      <c r="A570" s="143">
        <v>569.0</v>
      </c>
      <c r="B570" s="144" t="s">
        <v>585</v>
      </c>
      <c r="C570" s="144" t="s">
        <v>587</v>
      </c>
      <c r="D570" s="144" t="s">
        <v>594</v>
      </c>
      <c r="E570" s="146">
        <v>0.125</v>
      </c>
    </row>
    <row r="571">
      <c r="A571" s="143">
        <v>570.0</v>
      </c>
      <c r="B571" s="144" t="s">
        <v>585</v>
      </c>
      <c r="C571" s="144" t="s">
        <v>587</v>
      </c>
      <c r="D571" s="144" t="s">
        <v>595</v>
      </c>
      <c r="E571" s="146">
        <v>0.125</v>
      </c>
    </row>
    <row r="572">
      <c r="A572" s="143">
        <v>571.0</v>
      </c>
      <c r="B572" s="144" t="s">
        <v>585</v>
      </c>
      <c r="C572" s="144" t="s">
        <v>596</v>
      </c>
      <c r="D572" s="144" t="s">
        <v>597</v>
      </c>
      <c r="E572" s="146">
        <v>0.135</v>
      </c>
    </row>
    <row r="573">
      <c r="A573" s="143">
        <v>572.0</v>
      </c>
      <c r="B573" s="144" t="s">
        <v>585</v>
      </c>
      <c r="C573" s="144" t="s">
        <v>596</v>
      </c>
      <c r="D573" s="144" t="s">
        <v>62</v>
      </c>
      <c r="E573" s="146">
        <v>0.135</v>
      </c>
    </row>
    <row r="574">
      <c r="A574" s="143">
        <v>573.0</v>
      </c>
      <c r="B574" s="144" t="s">
        <v>585</v>
      </c>
      <c r="C574" s="144" t="s">
        <v>596</v>
      </c>
      <c r="D574" s="144" t="s">
        <v>598</v>
      </c>
      <c r="E574" s="146">
        <v>0.135</v>
      </c>
    </row>
    <row r="575">
      <c r="A575" s="143">
        <v>574.0</v>
      </c>
      <c r="B575" s="144" t="s">
        <v>585</v>
      </c>
      <c r="C575" s="144" t="s">
        <v>347</v>
      </c>
      <c r="D575" s="144" t="s">
        <v>599</v>
      </c>
      <c r="E575" s="146">
        <v>0.125</v>
      </c>
    </row>
    <row r="576">
      <c r="A576" s="143">
        <v>575.0</v>
      </c>
      <c r="B576" s="144" t="s">
        <v>585</v>
      </c>
      <c r="C576" s="144" t="s">
        <v>347</v>
      </c>
      <c r="D576" s="144" t="s">
        <v>600</v>
      </c>
      <c r="E576" s="146">
        <v>0.125</v>
      </c>
    </row>
    <row r="577">
      <c r="A577" s="143">
        <v>576.0</v>
      </c>
      <c r="B577" s="144" t="s">
        <v>585</v>
      </c>
      <c r="C577" s="144" t="s">
        <v>347</v>
      </c>
      <c r="D577" s="144" t="s">
        <v>601</v>
      </c>
      <c r="E577" s="146">
        <v>0.125</v>
      </c>
    </row>
    <row r="578">
      <c r="A578" s="143">
        <v>577.0</v>
      </c>
      <c r="B578" s="144" t="s">
        <v>585</v>
      </c>
      <c r="C578" s="144" t="s">
        <v>347</v>
      </c>
      <c r="D578" s="144" t="s">
        <v>62</v>
      </c>
      <c r="E578" s="146">
        <v>0.125</v>
      </c>
    </row>
    <row r="579">
      <c r="A579" s="143">
        <v>578.0</v>
      </c>
      <c r="B579" s="144" t="s">
        <v>585</v>
      </c>
      <c r="C579" s="144" t="s">
        <v>347</v>
      </c>
      <c r="D579" s="144" t="s">
        <v>602</v>
      </c>
      <c r="E579" s="146">
        <v>0.125</v>
      </c>
    </row>
    <row r="580">
      <c r="A580" s="143">
        <v>579.0</v>
      </c>
      <c r="B580" s="144" t="s">
        <v>585</v>
      </c>
      <c r="C580" s="144" t="s">
        <v>347</v>
      </c>
      <c r="D580" s="144" t="s">
        <v>342</v>
      </c>
      <c r="E580" s="146">
        <v>0.125</v>
      </c>
    </row>
    <row r="581">
      <c r="A581" s="143">
        <v>580.0</v>
      </c>
      <c r="B581" s="144" t="s">
        <v>585</v>
      </c>
      <c r="C581" s="144" t="s">
        <v>603</v>
      </c>
      <c r="D581" s="147"/>
      <c r="E581" s="146">
        <v>0.135</v>
      </c>
    </row>
    <row r="582">
      <c r="A582" s="143">
        <v>581.0</v>
      </c>
      <c r="B582" s="144" t="s">
        <v>585</v>
      </c>
      <c r="C582" s="144" t="s">
        <v>358</v>
      </c>
      <c r="D582" s="144" t="s">
        <v>604</v>
      </c>
      <c r="E582" s="146">
        <v>0.135</v>
      </c>
    </row>
    <row r="583">
      <c r="A583" s="143">
        <v>582.0</v>
      </c>
      <c r="B583" s="144" t="s">
        <v>585</v>
      </c>
      <c r="C583" s="144" t="s">
        <v>358</v>
      </c>
      <c r="D583" s="144" t="s">
        <v>62</v>
      </c>
      <c r="E583" s="146">
        <v>0.135</v>
      </c>
    </row>
    <row r="584">
      <c r="A584" s="143">
        <v>583.0</v>
      </c>
      <c r="B584" s="144" t="s">
        <v>585</v>
      </c>
      <c r="C584" s="144" t="s">
        <v>358</v>
      </c>
      <c r="D584" s="144" t="s">
        <v>605</v>
      </c>
      <c r="E584" s="146">
        <v>0.135</v>
      </c>
    </row>
    <row r="585">
      <c r="A585" s="143">
        <v>584.0</v>
      </c>
      <c r="B585" s="144" t="s">
        <v>585</v>
      </c>
      <c r="C585" s="144" t="s">
        <v>358</v>
      </c>
      <c r="D585" s="144" t="s">
        <v>606</v>
      </c>
      <c r="E585" s="146">
        <v>0.135</v>
      </c>
    </row>
    <row r="586">
      <c r="A586" s="143">
        <v>585.0</v>
      </c>
      <c r="B586" s="144" t="s">
        <v>585</v>
      </c>
      <c r="C586" s="144" t="s">
        <v>349</v>
      </c>
      <c r="D586" s="144" t="s">
        <v>607</v>
      </c>
      <c r="E586" s="146">
        <v>0.135</v>
      </c>
    </row>
    <row r="587">
      <c r="A587" s="143">
        <v>586.0</v>
      </c>
      <c r="B587" s="144" t="s">
        <v>585</v>
      </c>
      <c r="C587" s="144" t="s">
        <v>349</v>
      </c>
      <c r="D587" s="144" t="s">
        <v>608</v>
      </c>
      <c r="E587" s="146">
        <v>0.135</v>
      </c>
    </row>
    <row r="588">
      <c r="A588" s="143">
        <v>587.0</v>
      </c>
      <c r="B588" s="144" t="s">
        <v>585</v>
      </c>
      <c r="C588" s="144" t="s">
        <v>349</v>
      </c>
      <c r="D588" s="144" t="s">
        <v>62</v>
      </c>
      <c r="E588" s="146">
        <v>0.135</v>
      </c>
    </row>
    <row r="589">
      <c r="A589" s="143">
        <v>588.0</v>
      </c>
      <c r="B589" s="144" t="s">
        <v>585</v>
      </c>
      <c r="C589" s="144" t="s">
        <v>349</v>
      </c>
      <c r="D589" s="144" t="s">
        <v>428</v>
      </c>
      <c r="E589" s="146">
        <v>0.135</v>
      </c>
    </row>
    <row r="590">
      <c r="A590" s="143">
        <v>589.0</v>
      </c>
      <c r="B590" s="144" t="s">
        <v>585</v>
      </c>
      <c r="C590" s="144" t="s">
        <v>349</v>
      </c>
      <c r="D590" s="144" t="s">
        <v>609</v>
      </c>
      <c r="E590" s="146">
        <v>0.135</v>
      </c>
    </row>
    <row r="591">
      <c r="A591" s="143">
        <v>590.0</v>
      </c>
      <c r="B591" s="144" t="s">
        <v>585</v>
      </c>
      <c r="C591" s="144" t="s">
        <v>349</v>
      </c>
      <c r="D591" s="144" t="s">
        <v>610</v>
      </c>
      <c r="E591" s="146">
        <v>0.135</v>
      </c>
    </row>
    <row r="592">
      <c r="A592" s="143">
        <v>591.0</v>
      </c>
      <c r="B592" s="144" t="s">
        <v>585</v>
      </c>
      <c r="C592" s="144" t="s">
        <v>349</v>
      </c>
      <c r="D592" s="144" t="s">
        <v>611</v>
      </c>
      <c r="E592" s="146">
        <v>0.135</v>
      </c>
    </row>
    <row r="593">
      <c r="A593" s="143">
        <v>592.0</v>
      </c>
      <c r="B593" s="144" t="s">
        <v>585</v>
      </c>
      <c r="C593" s="144" t="s">
        <v>349</v>
      </c>
      <c r="D593" s="144" t="s">
        <v>612</v>
      </c>
      <c r="E593" s="146">
        <v>0.135</v>
      </c>
    </row>
    <row r="594">
      <c r="A594" s="143">
        <v>593.0</v>
      </c>
      <c r="B594" s="144" t="s">
        <v>585</v>
      </c>
      <c r="C594" s="144" t="s">
        <v>349</v>
      </c>
      <c r="D594" s="144" t="s">
        <v>426</v>
      </c>
      <c r="E594" s="146">
        <v>0.135</v>
      </c>
    </row>
    <row r="595">
      <c r="A595" s="143">
        <v>594.0</v>
      </c>
      <c r="B595" s="144" t="s">
        <v>585</v>
      </c>
      <c r="C595" s="144" t="s">
        <v>613</v>
      </c>
      <c r="D595" s="144" t="s">
        <v>614</v>
      </c>
      <c r="E595" s="146">
        <v>0.135</v>
      </c>
    </row>
    <row r="596">
      <c r="A596" s="143">
        <v>595.0</v>
      </c>
      <c r="B596" s="144" t="s">
        <v>585</v>
      </c>
      <c r="C596" s="144" t="s">
        <v>613</v>
      </c>
      <c r="D596" s="144" t="s">
        <v>615</v>
      </c>
      <c r="E596" s="146">
        <v>0.135</v>
      </c>
    </row>
    <row r="597">
      <c r="A597" s="143">
        <v>596.0</v>
      </c>
      <c r="B597" s="144" t="s">
        <v>585</v>
      </c>
      <c r="C597" s="144" t="s">
        <v>613</v>
      </c>
      <c r="D597" s="144" t="s">
        <v>616</v>
      </c>
      <c r="E597" s="146">
        <v>0.135</v>
      </c>
    </row>
    <row r="598">
      <c r="A598" s="143">
        <v>597.0</v>
      </c>
      <c r="B598" s="144" t="s">
        <v>585</v>
      </c>
      <c r="C598" s="144" t="s">
        <v>613</v>
      </c>
      <c r="D598" s="144" t="s">
        <v>617</v>
      </c>
      <c r="E598" s="146">
        <v>0.135</v>
      </c>
    </row>
    <row r="599">
      <c r="A599" s="143">
        <v>598.0</v>
      </c>
      <c r="B599" s="144" t="s">
        <v>585</v>
      </c>
      <c r="C599" s="144" t="s">
        <v>613</v>
      </c>
      <c r="D599" s="144" t="s">
        <v>618</v>
      </c>
      <c r="E599" s="146">
        <v>0.135</v>
      </c>
    </row>
    <row r="600">
      <c r="A600" s="143">
        <v>599.0</v>
      </c>
      <c r="B600" s="144" t="s">
        <v>585</v>
      </c>
      <c r="C600" s="144" t="s">
        <v>613</v>
      </c>
      <c r="D600" s="144" t="s">
        <v>619</v>
      </c>
      <c r="E600" s="146">
        <v>0.135</v>
      </c>
    </row>
    <row r="601">
      <c r="A601" s="143">
        <v>600.0</v>
      </c>
      <c r="B601" s="144" t="s">
        <v>585</v>
      </c>
      <c r="C601" s="144" t="s">
        <v>613</v>
      </c>
      <c r="D601" s="144" t="s">
        <v>62</v>
      </c>
      <c r="E601" s="146">
        <v>0.135</v>
      </c>
    </row>
    <row r="602">
      <c r="A602" s="143">
        <v>601.0</v>
      </c>
      <c r="B602" s="144" t="s">
        <v>585</v>
      </c>
      <c r="C602" s="144" t="s">
        <v>62</v>
      </c>
      <c r="D602" s="147"/>
      <c r="E602" s="146">
        <v>0.135</v>
      </c>
    </row>
    <row r="603">
      <c r="A603" s="143">
        <v>602.0</v>
      </c>
      <c r="B603" s="144" t="s">
        <v>585</v>
      </c>
      <c r="C603" s="144" t="s">
        <v>345</v>
      </c>
      <c r="D603" s="144" t="s">
        <v>620</v>
      </c>
      <c r="E603" s="146">
        <v>0.135</v>
      </c>
    </row>
    <row r="604">
      <c r="A604" s="143">
        <v>603.0</v>
      </c>
      <c r="B604" s="144" t="s">
        <v>585</v>
      </c>
      <c r="C604" s="144" t="s">
        <v>345</v>
      </c>
      <c r="D604" s="144" t="s">
        <v>62</v>
      </c>
      <c r="E604" s="146">
        <v>0.135</v>
      </c>
    </row>
    <row r="605">
      <c r="A605" s="143">
        <v>604.0</v>
      </c>
      <c r="B605" s="144" t="s">
        <v>585</v>
      </c>
      <c r="C605" s="144" t="s">
        <v>345</v>
      </c>
      <c r="D605" s="144" t="s">
        <v>433</v>
      </c>
      <c r="E605" s="146">
        <v>0.135</v>
      </c>
    </row>
    <row r="606">
      <c r="A606" s="143">
        <v>605.0</v>
      </c>
      <c r="B606" s="144" t="s">
        <v>585</v>
      </c>
      <c r="C606" s="144" t="s">
        <v>436</v>
      </c>
      <c r="D606" s="144" t="s">
        <v>621</v>
      </c>
      <c r="E606" s="146">
        <v>0.135</v>
      </c>
    </row>
    <row r="607">
      <c r="A607" s="143">
        <v>606.0</v>
      </c>
      <c r="B607" s="144" t="s">
        <v>585</v>
      </c>
      <c r="C607" s="144" t="s">
        <v>436</v>
      </c>
      <c r="D607" s="144" t="s">
        <v>622</v>
      </c>
      <c r="E607" s="146">
        <v>0.135</v>
      </c>
    </row>
    <row r="608">
      <c r="A608" s="143">
        <v>607.0</v>
      </c>
      <c r="B608" s="144" t="s">
        <v>585</v>
      </c>
      <c r="C608" s="144" t="s">
        <v>436</v>
      </c>
      <c r="D608" s="144" t="s">
        <v>623</v>
      </c>
      <c r="E608" s="146">
        <v>0.135</v>
      </c>
    </row>
    <row r="609">
      <c r="A609" s="143">
        <v>608.0</v>
      </c>
      <c r="B609" s="144" t="s">
        <v>585</v>
      </c>
      <c r="C609" s="144" t="s">
        <v>436</v>
      </c>
      <c r="D609" s="144" t="s">
        <v>62</v>
      </c>
      <c r="E609" s="146">
        <v>0.135</v>
      </c>
    </row>
    <row r="610">
      <c r="A610" s="143">
        <v>609.0</v>
      </c>
      <c r="B610" s="144" t="s">
        <v>585</v>
      </c>
      <c r="C610" s="144" t="s">
        <v>437</v>
      </c>
      <c r="D610" s="144" t="s">
        <v>62</v>
      </c>
      <c r="E610" s="146">
        <v>0.135</v>
      </c>
    </row>
    <row r="611">
      <c r="A611" s="143">
        <v>610.0</v>
      </c>
      <c r="B611" s="144" t="s">
        <v>585</v>
      </c>
      <c r="C611" s="144" t="s">
        <v>437</v>
      </c>
      <c r="D611" s="144" t="s">
        <v>437</v>
      </c>
      <c r="E611" s="146">
        <v>0.135</v>
      </c>
    </row>
    <row r="612">
      <c r="A612" s="143">
        <v>611.0</v>
      </c>
      <c r="B612" s="144" t="s">
        <v>585</v>
      </c>
      <c r="C612" s="144" t="s">
        <v>437</v>
      </c>
      <c r="D612" s="144" t="s">
        <v>624</v>
      </c>
      <c r="E612" s="146">
        <v>0.135</v>
      </c>
    </row>
    <row r="613">
      <c r="A613" s="143">
        <v>612.0</v>
      </c>
      <c r="B613" s="144" t="s">
        <v>585</v>
      </c>
      <c r="C613" s="144" t="s">
        <v>336</v>
      </c>
      <c r="D613" s="147"/>
      <c r="E613" s="146">
        <v>0.135</v>
      </c>
    </row>
    <row r="614">
      <c r="A614" s="143">
        <v>613.0</v>
      </c>
      <c r="B614" s="144" t="s">
        <v>585</v>
      </c>
      <c r="C614" s="144" t="s">
        <v>339</v>
      </c>
      <c r="D614" s="144" t="s">
        <v>625</v>
      </c>
      <c r="E614" s="146">
        <v>0.135</v>
      </c>
    </row>
    <row r="615">
      <c r="A615" s="143">
        <v>614.0</v>
      </c>
      <c r="B615" s="144" t="s">
        <v>585</v>
      </c>
      <c r="C615" s="144" t="s">
        <v>339</v>
      </c>
      <c r="D615" s="144" t="s">
        <v>626</v>
      </c>
      <c r="E615" s="146">
        <v>0.135</v>
      </c>
    </row>
    <row r="616">
      <c r="A616" s="143">
        <v>615.0</v>
      </c>
      <c r="B616" s="144" t="s">
        <v>585</v>
      </c>
      <c r="C616" s="144" t="s">
        <v>339</v>
      </c>
      <c r="D616" s="144" t="s">
        <v>62</v>
      </c>
      <c r="E616" s="146">
        <v>0.135</v>
      </c>
    </row>
    <row r="617">
      <c r="A617" s="143">
        <v>616.0</v>
      </c>
      <c r="B617" s="144" t="s">
        <v>585</v>
      </c>
      <c r="C617" s="144" t="s">
        <v>339</v>
      </c>
      <c r="D617" s="144" t="s">
        <v>627</v>
      </c>
      <c r="E617" s="146">
        <v>0.135</v>
      </c>
    </row>
    <row r="618">
      <c r="A618" s="143">
        <v>617.0</v>
      </c>
      <c r="B618" s="144" t="s">
        <v>585</v>
      </c>
      <c r="C618" s="144" t="s">
        <v>438</v>
      </c>
      <c r="D618" s="144" t="s">
        <v>62</v>
      </c>
      <c r="E618" s="146">
        <v>0.135</v>
      </c>
    </row>
    <row r="619">
      <c r="A619" s="143">
        <v>618.0</v>
      </c>
      <c r="B619" s="144" t="s">
        <v>585</v>
      </c>
      <c r="C619" s="144" t="s">
        <v>438</v>
      </c>
      <c r="D619" s="144" t="s">
        <v>628</v>
      </c>
      <c r="E619" s="146">
        <v>0.135</v>
      </c>
    </row>
    <row r="620">
      <c r="A620" s="143">
        <v>619.0</v>
      </c>
      <c r="B620" s="144" t="s">
        <v>585</v>
      </c>
      <c r="C620" s="144" t="s">
        <v>438</v>
      </c>
      <c r="D620" s="144" t="s">
        <v>331</v>
      </c>
      <c r="E620" s="146">
        <v>0.135</v>
      </c>
    </row>
    <row r="621">
      <c r="A621" s="143">
        <v>620.0</v>
      </c>
      <c r="B621" s="144" t="s">
        <v>585</v>
      </c>
      <c r="C621" s="144" t="s">
        <v>444</v>
      </c>
      <c r="D621" s="147"/>
      <c r="E621" s="146">
        <v>0.135</v>
      </c>
    </row>
    <row r="622">
      <c r="A622" s="143">
        <v>621.0</v>
      </c>
      <c r="B622" s="144" t="s">
        <v>585</v>
      </c>
      <c r="C622" s="144" t="s">
        <v>341</v>
      </c>
      <c r="D622" s="144" t="s">
        <v>629</v>
      </c>
      <c r="E622" s="146">
        <v>0.135</v>
      </c>
    </row>
    <row r="623">
      <c r="A623" s="143">
        <v>622.0</v>
      </c>
      <c r="B623" s="144" t="s">
        <v>585</v>
      </c>
      <c r="C623" s="144" t="s">
        <v>341</v>
      </c>
      <c r="D623" s="144" t="s">
        <v>62</v>
      </c>
      <c r="E623" s="146">
        <v>0.135</v>
      </c>
    </row>
    <row r="624">
      <c r="A624" s="143">
        <v>623.0</v>
      </c>
      <c r="B624" s="144" t="s">
        <v>585</v>
      </c>
      <c r="C624" s="144" t="s">
        <v>341</v>
      </c>
      <c r="D624" s="144" t="s">
        <v>445</v>
      </c>
      <c r="E624" s="146">
        <v>0.135</v>
      </c>
    </row>
    <row r="625">
      <c r="A625" s="143">
        <v>624.0</v>
      </c>
      <c r="B625" s="144" t="s">
        <v>585</v>
      </c>
      <c r="C625" s="144" t="s">
        <v>341</v>
      </c>
      <c r="D625" s="144" t="s">
        <v>446</v>
      </c>
      <c r="E625" s="146">
        <v>0.135</v>
      </c>
    </row>
    <row r="626">
      <c r="A626" s="143">
        <v>625.0</v>
      </c>
      <c r="B626" s="144" t="s">
        <v>585</v>
      </c>
      <c r="C626" s="144" t="s">
        <v>341</v>
      </c>
      <c r="D626" s="144" t="s">
        <v>447</v>
      </c>
      <c r="E626" s="146">
        <v>0.135</v>
      </c>
    </row>
    <row r="627">
      <c r="A627" s="143">
        <v>626.0</v>
      </c>
      <c r="B627" s="144" t="s">
        <v>585</v>
      </c>
      <c r="C627" s="144" t="s">
        <v>341</v>
      </c>
      <c r="D627" s="144" t="s">
        <v>630</v>
      </c>
      <c r="E627" s="146">
        <v>0.135</v>
      </c>
    </row>
    <row r="628">
      <c r="A628" s="143">
        <v>627.0</v>
      </c>
      <c r="B628" s="144" t="s">
        <v>585</v>
      </c>
      <c r="C628" s="144" t="s">
        <v>341</v>
      </c>
      <c r="D628" s="144" t="s">
        <v>631</v>
      </c>
      <c r="E628" s="146">
        <v>0.135</v>
      </c>
    </row>
    <row r="629">
      <c r="A629" s="143">
        <v>628.0</v>
      </c>
      <c r="B629" s="144" t="s">
        <v>585</v>
      </c>
      <c r="C629" s="144" t="s">
        <v>632</v>
      </c>
      <c r="D629" s="144" t="s">
        <v>633</v>
      </c>
      <c r="E629" s="146">
        <v>0.135</v>
      </c>
    </row>
    <row r="630">
      <c r="A630" s="143">
        <v>629.0</v>
      </c>
      <c r="B630" s="144" t="s">
        <v>585</v>
      </c>
      <c r="C630" s="144" t="s">
        <v>632</v>
      </c>
      <c r="D630" s="144" t="s">
        <v>586</v>
      </c>
      <c r="E630" s="146">
        <v>0.135</v>
      </c>
    </row>
    <row r="631">
      <c r="A631" s="143">
        <v>630.0</v>
      </c>
      <c r="B631" s="144" t="s">
        <v>585</v>
      </c>
      <c r="C631" s="144" t="s">
        <v>632</v>
      </c>
      <c r="D631" s="144" t="s">
        <v>62</v>
      </c>
      <c r="E631" s="146">
        <v>0.135</v>
      </c>
    </row>
    <row r="632">
      <c r="A632" s="143">
        <v>631.0</v>
      </c>
      <c r="B632" s="144" t="s">
        <v>585</v>
      </c>
      <c r="C632" s="144" t="s">
        <v>632</v>
      </c>
      <c r="D632" s="144" t="s">
        <v>436</v>
      </c>
      <c r="E632" s="146">
        <v>0.135</v>
      </c>
    </row>
    <row r="633">
      <c r="A633" s="143">
        <v>632.0</v>
      </c>
      <c r="B633" s="144" t="s">
        <v>585</v>
      </c>
      <c r="C633" s="144" t="s">
        <v>632</v>
      </c>
      <c r="D633" s="144" t="s">
        <v>341</v>
      </c>
      <c r="E633" s="146">
        <v>0.135</v>
      </c>
    </row>
    <row r="634">
      <c r="A634" s="143">
        <v>633.0</v>
      </c>
      <c r="B634" s="144" t="s">
        <v>585</v>
      </c>
      <c r="C634" s="144" t="s">
        <v>634</v>
      </c>
      <c r="D634" s="147"/>
      <c r="E634" s="146">
        <v>0.135</v>
      </c>
    </row>
    <row r="635">
      <c r="A635" s="143">
        <v>634.0</v>
      </c>
      <c r="B635" s="144" t="s">
        <v>635</v>
      </c>
      <c r="C635" s="144" t="s">
        <v>351</v>
      </c>
      <c r="D635" s="144" t="s">
        <v>451</v>
      </c>
      <c r="E635" s="146">
        <v>0.125</v>
      </c>
    </row>
    <row r="636">
      <c r="A636" s="143">
        <v>635.0</v>
      </c>
      <c r="B636" s="144" t="s">
        <v>635</v>
      </c>
      <c r="C636" s="144" t="s">
        <v>351</v>
      </c>
      <c r="D636" s="144" t="s">
        <v>62</v>
      </c>
      <c r="E636" s="146">
        <v>0.125</v>
      </c>
    </row>
    <row r="637">
      <c r="A637" s="143">
        <v>636.0</v>
      </c>
      <c r="B637" s="144" t="s">
        <v>635</v>
      </c>
      <c r="C637" s="144" t="s">
        <v>351</v>
      </c>
      <c r="D637" s="144" t="s">
        <v>452</v>
      </c>
      <c r="E637" s="146">
        <v>0.125</v>
      </c>
    </row>
    <row r="638">
      <c r="A638" s="143">
        <v>637.0</v>
      </c>
      <c r="B638" s="144" t="s">
        <v>635</v>
      </c>
      <c r="C638" s="144" t="s">
        <v>636</v>
      </c>
      <c r="D638" s="144" t="s">
        <v>637</v>
      </c>
      <c r="E638" s="146">
        <v>0.135</v>
      </c>
    </row>
    <row r="639">
      <c r="A639" s="143">
        <v>638.0</v>
      </c>
      <c r="B639" s="144" t="s">
        <v>635</v>
      </c>
      <c r="C639" s="144" t="s">
        <v>636</v>
      </c>
      <c r="D639" s="144" t="s">
        <v>638</v>
      </c>
      <c r="E639" s="146">
        <v>0.135</v>
      </c>
    </row>
    <row r="640">
      <c r="A640" s="143">
        <v>639.0</v>
      </c>
      <c r="B640" s="144" t="s">
        <v>635</v>
      </c>
      <c r="C640" s="144" t="s">
        <v>636</v>
      </c>
      <c r="D640" s="144" t="s">
        <v>458</v>
      </c>
      <c r="E640" s="146">
        <v>0.135</v>
      </c>
    </row>
    <row r="641">
      <c r="A641" s="143">
        <v>640.0</v>
      </c>
      <c r="B641" s="144" t="s">
        <v>635</v>
      </c>
      <c r="C641" s="144" t="s">
        <v>636</v>
      </c>
      <c r="D641" s="144" t="s">
        <v>459</v>
      </c>
      <c r="E641" s="146">
        <v>0.135</v>
      </c>
    </row>
    <row r="642">
      <c r="A642" s="143">
        <v>641.0</v>
      </c>
      <c r="B642" s="144" t="s">
        <v>635</v>
      </c>
      <c r="C642" s="144" t="s">
        <v>636</v>
      </c>
      <c r="D642" s="144" t="s">
        <v>62</v>
      </c>
      <c r="E642" s="146">
        <v>0.135</v>
      </c>
    </row>
    <row r="643">
      <c r="A643" s="143">
        <v>642.0</v>
      </c>
      <c r="B643" s="144" t="s">
        <v>635</v>
      </c>
      <c r="C643" s="144" t="s">
        <v>639</v>
      </c>
      <c r="D643" s="144" t="s">
        <v>640</v>
      </c>
      <c r="E643" s="146">
        <v>0.135</v>
      </c>
    </row>
    <row r="644">
      <c r="A644" s="143">
        <v>643.0</v>
      </c>
      <c r="B644" s="144" t="s">
        <v>635</v>
      </c>
      <c r="C644" s="144" t="s">
        <v>639</v>
      </c>
      <c r="D644" s="144" t="s">
        <v>354</v>
      </c>
      <c r="E644" s="146">
        <v>0.125</v>
      </c>
    </row>
    <row r="645">
      <c r="A645" s="143">
        <v>644.0</v>
      </c>
      <c r="B645" s="144" t="s">
        <v>635</v>
      </c>
      <c r="C645" s="144" t="s">
        <v>639</v>
      </c>
      <c r="D645" s="144" t="s">
        <v>62</v>
      </c>
      <c r="E645" s="146">
        <v>0.125</v>
      </c>
    </row>
    <row r="646">
      <c r="A646" s="143">
        <v>645.0</v>
      </c>
      <c r="B646" s="144" t="s">
        <v>635</v>
      </c>
      <c r="C646" s="144" t="s">
        <v>639</v>
      </c>
      <c r="D646" s="144" t="s">
        <v>641</v>
      </c>
      <c r="E646" s="146">
        <v>0.125</v>
      </c>
    </row>
    <row r="647">
      <c r="A647" s="143">
        <v>646.0</v>
      </c>
      <c r="B647" s="144" t="s">
        <v>635</v>
      </c>
      <c r="C647" s="144" t="s">
        <v>639</v>
      </c>
      <c r="D647" s="144" t="s">
        <v>642</v>
      </c>
      <c r="E647" s="146">
        <v>0.135</v>
      </c>
    </row>
    <row r="648">
      <c r="A648" s="143">
        <v>647.0</v>
      </c>
      <c r="B648" s="144" t="s">
        <v>635</v>
      </c>
      <c r="C648" s="144" t="s">
        <v>643</v>
      </c>
      <c r="D648" s="147"/>
      <c r="E648" s="146">
        <v>0.125</v>
      </c>
    </row>
    <row r="649">
      <c r="A649" s="143">
        <v>648.0</v>
      </c>
      <c r="B649" s="144" t="s">
        <v>635</v>
      </c>
      <c r="C649" s="144" t="s">
        <v>62</v>
      </c>
      <c r="D649" s="147"/>
      <c r="E649" s="146">
        <v>0.125</v>
      </c>
    </row>
    <row r="650">
      <c r="A650" s="143">
        <v>649.0</v>
      </c>
      <c r="B650" s="144" t="s">
        <v>635</v>
      </c>
      <c r="C650" s="144" t="s">
        <v>644</v>
      </c>
      <c r="D650" s="144" t="s">
        <v>645</v>
      </c>
      <c r="E650" s="146">
        <v>0.125</v>
      </c>
    </row>
    <row r="651">
      <c r="A651" s="143">
        <v>650.0</v>
      </c>
      <c r="B651" s="144" t="s">
        <v>635</v>
      </c>
      <c r="C651" s="144" t="s">
        <v>644</v>
      </c>
      <c r="D651" s="144" t="s">
        <v>62</v>
      </c>
      <c r="E651" s="146">
        <v>0.125</v>
      </c>
    </row>
    <row r="652">
      <c r="A652" s="143">
        <v>651.0</v>
      </c>
      <c r="B652" s="144" t="s">
        <v>635</v>
      </c>
      <c r="C652" s="144" t="s">
        <v>644</v>
      </c>
      <c r="D652" s="144" t="s">
        <v>646</v>
      </c>
      <c r="E652" s="146">
        <v>0.125</v>
      </c>
    </row>
    <row r="653">
      <c r="A653" s="143">
        <v>652.0</v>
      </c>
      <c r="B653" s="144" t="s">
        <v>635</v>
      </c>
      <c r="C653" s="144" t="s">
        <v>644</v>
      </c>
      <c r="D653" s="144" t="s">
        <v>647</v>
      </c>
      <c r="E653" s="146">
        <v>0.125</v>
      </c>
    </row>
    <row r="654">
      <c r="A654" s="143">
        <v>653.0</v>
      </c>
      <c r="B654" s="144" t="s">
        <v>635</v>
      </c>
      <c r="C654" s="144" t="s">
        <v>644</v>
      </c>
      <c r="D654" s="144" t="s">
        <v>464</v>
      </c>
      <c r="E654" s="146">
        <v>0.125</v>
      </c>
    </row>
    <row r="655">
      <c r="A655" s="143">
        <v>654.0</v>
      </c>
      <c r="B655" s="144" t="s">
        <v>635</v>
      </c>
      <c r="C655" s="144" t="s">
        <v>644</v>
      </c>
      <c r="D655" s="144" t="s">
        <v>466</v>
      </c>
      <c r="E655" s="146">
        <v>0.125</v>
      </c>
    </row>
    <row r="656">
      <c r="A656" s="143">
        <v>655.0</v>
      </c>
      <c r="B656" s="144" t="s">
        <v>635</v>
      </c>
      <c r="C656" s="144" t="s">
        <v>648</v>
      </c>
      <c r="D656" s="147"/>
      <c r="E656" s="146">
        <v>0.125</v>
      </c>
    </row>
    <row r="657">
      <c r="A657" s="143">
        <v>656.0</v>
      </c>
      <c r="B657" s="144" t="s">
        <v>635</v>
      </c>
      <c r="C657" s="144" t="s">
        <v>649</v>
      </c>
      <c r="D657" s="147"/>
      <c r="E657" s="146">
        <v>0.125</v>
      </c>
    </row>
    <row r="658">
      <c r="A658" s="143">
        <v>657.0</v>
      </c>
      <c r="B658" s="144" t="s">
        <v>650</v>
      </c>
      <c r="C658" s="144" t="s">
        <v>651</v>
      </c>
      <c r="D658" s="144" t="s">
        <v>652</v>
      </c>
      <c r="E658" s="146">
        <v>0.125</v>
      </c>
    </row>
    <row r="659">
      <c r="A659" s="143">
        <v>658.0</v>
      </c>
      <c r="B659" s="144" t="s">
        <v>650</v>
      </c>
      <c r="C659" s="144" t="s">
        <v>653</v>
      </c>
      <c r="D659" s="144" t="s">
        <v>654</v>
      </c>
      <c r="E659" s="146">
        <v>0.13</v>
      </c>
    </row>
    <row r="660">
      <c r="A660" s="143">
        <v>659.0</v>
      </c>
      <c r="B660" s="144" t="s">
        <v>650</v>
      </c>
      <c r="C660" s="144" t="s">
        <v>653</v>
      </c>
      <c r="D660" s="144" t="s">
        <v>655</v>
      </c>
      <c r="E660" s="146">
        <v>0.13</v>
      </c>
    </row>
    <row r="661">
      <c r="A661" s="143">
        <v>660.0</v>
      </c>
      <c r="B661" s="144" t="s">
        <v>650</v>
      </c>
      <c r="C661" s="144" t="s">
        <v>653</v>
      </c>
      <c r="D661" s="144" t="s">
        <v>656</v>
      </c>
      <c r="E661" s="146">
        <v>0.125</v>
      </c>
    </row>
    <row r="662">
      <c r="A662" s="143">
        <v>661.0</v>
      </c>
      <c r="B662" s="144" t="s">
        <v>650</v>
      </c>
      <c r="C662" s="144" t="s">
        <v>653</v>
      </c>
      <c r="D662" s="144" t="s">
        <v>657</v>
      </c>
      <c r="E662" s="146">
        <v>0.13</v>
      </c>
    </row>
    <row r="663">
      <c r="A663" s="143">
        <v>662.0</v>
      </c>
      <c r="B663" s="144" t="s">
        <v>650</v>
      </c>
      <c r="C663" s="144" t="s">
        <v>653</v>
      </c>
      <c r="D663" s="144" t="s">
        <v>658</v>
      </c>
      <c r="E663" s="146">
        <v>0.125</v>
      </c>
    </row>
    <row r="664">
      <c r="A664" s="143">
        <v>663.0</v>
      </c>
      <c r="B664" s="144" t="s">
        <v>650</v>
      </c>
      <c r="C664" s="144" t="s">
        <v>653</v>
      </c>
      <c r="D664" s="144" t="s">
        <v>62</v>
      </c>
      <c r="E664" s="146">
        <v>0.13</v>
      </c>
    </row>
    <row r="665">
      <c r="A665" s="143">
        <v>664.0</v>
      </c>
      <c r="B665" s="144" t="s">
        <v>650</v>
      </c>
      <c r="C665" s="144" t="s">
        <v>653</v>
      </c>
      <c r="D665" s="144" t="s">
        <v>659</v>
      </c>
      <c r="E665" s="146">
        <v>0.13</v>
      </c>
    </row>
    <row r="666">
      <c r="A666" s="143">
        <v>665.0</v>
      </c>
      <c r="B666" s="144" t="s">
        <v>650</v>
      </c>
      <c r="C666" s="144" t="s">
        <v>653</v>
      </c>
      <c r="D666" s="144" t="s">
        <v>660</v>
      </c>
      <c r="E666" s="146">
        <v>0.13</v>
      </c>
    </row>
    <row r="667">
      <c r="A667" s="143">
        <v>666.0</v>
      </c>
      <c r="B667" s="144" t="s">
        <v>650</v>
      </c>
      <c r="C667" s="144" t="s">
        <v>661</v>
      </c>
      <c r="D667" s="147"/>
      <c r="E667" s="146">
        <v>0.125</v>
      </c>
    </row>
    <row r="668">
      <c r="A668" s="143">
        <v>667.0</v>
      </c>
      <c r="B668" s="144" t="s">
        <v>650</v>
      </c>
      <c r="C668" s="144" t="s">
        <v>662</v>
      </c>
      <c r="D668" s="144" t="s">
        <v>663</v>
      </c>
      <c r="E668" s="146">
        <v>0.13</v>
      </c>
    </row>
    <row r="669">
      <c r="A669" s="143">
        <v>668.0</v>
      </c>
      <c r="B669" s="144" t="s">
        <v>650</v>
      </c>
      <c r="C669" s="144" t="s">
        <v>662</v>
      </c>
      <c r="D669" s="144" t="s">
        <v>62</v>
      </c>
      <c r="E669" s="146">
        <v>0.13</v>
      </c>
    </row>
    <row r="670">
      <c r="A670" s="143">
        <v>669.0</v>
      </c>
      <c r="B670" s="144" t="s">
        <v>650</v>
      </c>
      <c r="C670" s="144" t="s">
        <v>662</v>
      </c>
      <c r="D670" s="144" t="s">
        <v>664</v>
      </c>
      <c r="E670" s="146">
        <v>0.13</v>
      </c>
    </row>
    <row r="671">
      <c r="A671" s="143">
        <v>670.0</v>
      </c>
      <c r="B671" s="144" t="s">
        <v>650</v>
      </c>
      <c r="C671" s="144" t="s">
        <v>665</v>
      </c>
      <c r="D671" s="144" t="s">
        <v>666</v>
      </c>
      <c r="E671" s="146">
        <v>0.13</v>
      </c>
    </row>
    <row r="672">
      <c r="A672" s="143">
        <v>671.0</v>
      </c>
      <c r="B672" s="144" t="s">
        <v>650</v>
      </c>
      <c r="C672" s="144" t="s">
        <v>665</v>
      </c>
      <c r="D672" s="144" t="s">
        <v>667</v>
      </c>
      <c r="E672" s="146">
        <v>0.13</v>
      </c>
    </row>
    <row r="673">
      <c r="A673" s="143">
        <v>672.0</v>
      </c>
      <c r="B673" s="144" t="s">
        <v>650</v>
      </c>
      <c r="C673" s="144" t="s">
        <v>668</v>
      </c>
      <c r="D673" s="144" t="s">
        <v>669</v>
      </c>
      <c r="E673" s="146">
        <v>0.125</v>
      </c>
    </row>
    <row r="674">
      <c r="A674" s="143">
        <v>673.0</v>
      </c>
      <c r="B674" s="144" t="s">
        <v>650</v>
      </c>
      <c r="C674" s="144" t="s">
        <v>668</v>
      </c>
      <c r="D674" s="144" t="s">
        <v>670</v>
      </c>
      <c r="E674" s="146">
        <v>0.13</v>
      </c>
    </row>
    <row r="675">
      <c r="A675" s="143">
        <v>674.0</v>
      </c>
      <c r="B675" s="144" t="s">
        <v>650</v>
      </c>
      <c r="C675" s="144" t="s">
        <v>668</v>
      </c>
      <c r="D675" s="144" t="s">
        <v>671</v>
      </c>
      <c r="E675" s="146">
        <v>0.125</v>
      </c>
    </row>
    <row r="676">
      <c r="A676" s="143">
        <v>675.0</v>
      </c>
      <c r="B676" s="144" t="s">
        <v>650</v>
      </c>
      <c r="C676" s="144" t="s">
        <v>672</v>
      </c>
      <c r="D676" s="144" t="s">
        <v>673</v>
      </c>
      <c r="E676" s="146">
        <v>0.125</v>
      </c>
    </row>
    <row r="677">
      <c r="A677" s="143">
        <v>676.0</v>
      </c>
      <c r="B677" s="144" t="s">
        <v>674</v>
      </c>
      <c r="C677" s="144" t="s">
        <v>675</v>
      </c>
      <c r="D677" s="144" t="s">
        <v>676</v>
      </c>
      <c r="E677" s="146">
        <v>0.14</v>
      </c>
    </row>
    <row r="678">
      <c r="A678" s="143">
        <v>677.0</v>
      </c>
      <c r="B678" s="144" t="s">
        <v>674</v>
      </c>
      <c r="C678" s="144" t="s">
        <v>675</v>
      </c>
      <c r="D678" s="144" t="s">
        <v>677</v>
      </c>
      <c r="E678" s="146">
        <v>0.14</v>
      </c>
    </row>
    <row r="679">
      <c r="A679" s="143">
        <v>678.0</v>
      </c>
      <c r="B679" s="144" t="s">
        <v>674</v>
      </c>
      <c r="C679" s="144" t="s">
        <v>675</v>
      </c>
      <c r="D679" s="144" t="s">
        <v>678</v>
      </c>
      <c r="E679" s="146">
        <v>0.14</v>
      </c>
    </row>
    <row r="680">
      <c r="A680" s="143">
        <v>679.0</v>
      </c>
      <c r="B680" s="144" t="s">
        <v>674</v>
      </c>
      <c r="C680" s="144" t="s">
        <v>675</v>
      </c>
      <c r="D680" s="144" t="s">
        <v>679</v>
      </c>
      <c r="E680" s="146">
        <v>0.14</v>
      </c>
    </row>
    <row r="681">
      <c r="A681" s="143">
        <v>680.0</v>
      </c>
      <c r="B681" s="144" t="s">
        <v>674</v>
      </c>
      <c r="C681" s="144" t="s">
        <v>675</v>
      </c>
      <c r="D681" s="144" t="s">
        <v>680</v>
      </c>
      <c r="E681" s="146">
        <v>0.14</v>
      </c>
    </row>
    <row r="682">
      <c r="A682" s="143">
        <v>681.0</v>
      </c>
      <c r="B682" s="144" t="s">
        <v>674</v>
      </c>
      <c r="C682" s="144" t="s">
        <v>675</v>
      </c>
      <c r="D682" s="144" t="s">
        <v>681</v>
      </c>
      <c r="E682" s="146">
        <v>0.14</v>
      </c>
    </row>
    <row r="683">
      <c r="A683" s="143">
        <v>682.0</v>
      </c>
      <c r="B683" s="144" t="s">
        <v>674</v>
      </c>
      <c r="C683" s="144" t="s">
        <v>675</v>
      </c>
      <c r="D683" s="144" t="s">
        <v>682</v>
      </c>
      <c r="E683" s="146">
        <v>0.14</v>
      </c>
    </row>
    <row r="684">
      <c r="A684" s="143">
        <v>683.0</v>
      </c>
      <c r="B684" s="144" t="s">
        <v>674</v>
      </c>
      <c r="C684" s="144" t="s">
        <v>675</v>
      </c>
      <c r="D684" s="144" t="s">
        <v>683</v>
      </c>
      <c r="E684" s="146">
        <v>0.14</v>
      </c>
    </row>
    <row r="685">
      <c r="A685" s="143">
        <v>684.0</v>
      </c>
      <c r="B685" s="144" t="s">
        <v>674</v>
      </c>
      <c r="C685" s="144" t="s">
        <v>675</v>
      </c>
      <c r="D685" s="144" t="s">
        <v>684</v>
      </c>
      <c r="E685" s="146">
        <v>0.14</v>
      </c>
    </row>
    <row r="686">
      <c r="A686" s="143">
        <v>685.0</v>
      </c>
      <c r="B686" s="144" t="s">
        <v>674</v>
      </c>
      <c r="C686" s="144" t="s">
        <v>675</v>
      </c>
      <c r="D686" s="144" t="s">
        <v>62</v>
      </c>
      <c r="E686" s="146">
        <v>0.14</v>
      </c>
    </row>
    <row r="687">
      <c r="A687" s="143">
        <v>686.0</v>
      </c>
      <c r="B687" s="144" t="s">
        <v>674</v>
      </c>
      <c r="C687" s="144" t="s">
        <v>675</v>
      </c>
      <c r="D687" s="144" t="s">
        <v>685</v>
      </c>
      <c r="E687" s="146">
        <v>0.14</v>
      </c>
    </row>
    <row r="688">
      <c r="A688" s="143">
        <v>687.0</v>
      </c>
      <c r="B688" s="144" t="s">
        <v>674</v>
      </c>
      <c r="C688" s="144" t="s">
        <v>686</v>
      </c>
      <c r="D688" s="147"/>
      <c r="E688" s="146">
        <v>0.14</v>
      </c>
    </row>
    <row r="689">
      <c r="A689" s="143">
        <v>688.0</v>
      </c>
      <c r="B689" s="144" t="s">
        <v>674</v>
      </c>
      <c r="C689" s="144" t="s">
        <v>687</v>
      </c>
      <c r="D689" s="144" t="s">
        <v>688</v>
      </c>
      <c r="E689" s="146">
        <v>0.14</v>
      </c>
    </row>
    <row r="690">
      <c r="A690" s="143">
        <v>689.0</v>
      </c>
      <c r="B690" s="144" t="s">
        <v>674</v>
      </c>
      <c r="C690" s="144" t="s">
        <v>687</v>
      </c>
      <c r="D690" s="144" t="s">
        <v>689</v>
      </c>
      <c r="E690" s="146">
        <v>0.14</v>
      </c>
    </row>
    <row r="691">
      <c r="A691" s="143">
        <v>690.0</v>
      </c>
      <c r="B691" s="144" t="s">
        <v>674</v>
      </c>
      <c r="C691" s="144" t="s">
        <v>687</v>
      </c>
      <c r="D691" s="144" t="s">
        <v>690</v>
      </c>
      <c r="E691" s="146">
        <v>0.14</v>
      </c>
    </row>
    <row r="692">
      <c r="A692" s="143">
        <v>691.0</v>
      </c>
      <c r="B692" s="144" t="s">
        <v>674</v>
      </c>
      <c r="C692" s="144" t="s">
        <v>687</v>
      </c>
      <c r="D692" s="144" t="s">
        <v>691</v>
      </c>
      <c r="E692" s="146">
        <v>0.14</v>
      </c>
    </row>
    <row r="693">
      <c r="A693" s="143">
        <v>692.0</v>
      </c>
      <c r="B693" s="144" t="s">
        <v>674</v>
      </c>
      <c r="C693" s="144" t="s">
        <v>687</v>
      </c>
      <c r="D693" s="144" t="s">
        <v>692</v>
      </c>
      <c r="E693" s="146">
        <v>0.14</v>
      </c>
    </row>
    <row r="694">
      <c r="A694" s="143">
        <v>693.0</v>
      </c>
      <c r="B694" s="144" t="s">
        <v>674</v>
      </c>
      <c r="C694" s="144" t="s">
        <v>687</v>
      </c>
      <c r="D694" s="144" t="s">
        <v>62</v>
      </c>
      <c r="E694" s="146">
        <v>0.14</v>
      </c>
    </row>
    <row r="695">
      <c r="A695" s="143">
        <v>694.0</v>
      </c>
      <c r="B695" s="144" t="s">
        <v>674</v>
      </c>
      <c r="C695" s="144" t="s">
        <v>693</v>
      </c>
      <c r="D695" s="144" t="s">
        <v>694</v>
      </c>
      <c r="E695" s="146">
        <v>0.14</v>
      </c>
    </row>
    <row r="696">
      <c r="A696" s="143">
        <v>695.0</v>
      </c>
      <c r="B696" s="144" t="s">
        <v>674</v>
      </c>
      <c r="C696" s="144" t="s">
        <v>693</v>
      </c>
      <c r="D696" s="144" t="s">
        <v>695</v>
      </c>
      <c r="E696" s="146">
        <v>0.14</v>
      </c>
    </row>
    <row r="697">
      <c r="A697" s="143">
        <v>696.0</v>
      </c>
      <c r="B697" s="144" t="s">
        <v>674</v>
      </c>
      <c r="C697" s="144" t="s">
        <v>693</v>
      </c>
      <c r="D697" s="144" t="s">
        <v>696</v>
      </c>
      <c r="E697" s="146">
        <v>0.14</v>
      </c>
    </row>
    <row r="698">
      <c r="A698" s="143">
        <v>697.0</v>
      </c>
      <c r="B698" s="144" t="s">
        <v>674</v>
      </c>
      <c r="C698" s="144" t="s">
        <v>693</v>
      </c>
      <c r="D698" s="144" t="s">
        <v>697</v>
      </c>
      <c r="E698" s="146">
        <v>0.14</v>
      </c>
    </row>
    <row r="699">
      <c r="A699" s="143">
        <v>698.0</v>
      </c>
      <c r="B699" s="144" t="s">
        <v>674</v>
      </c>
      <c r="C699" s="144" t="s">
        <v>693</v>
      </c>
      <c r="D699" s="144" t="s">
        <v>62</v>
      </c>
      <c r="E699" s="146">
        <v>0.14</v>
      </c>
    </row>
    <row r="700">
      <c r="A700" s="143">
        <v>699.0</v>
      </c>
      <c r="B700" s="144" t="s">
        <v>674</v>
      </c>
      <c r="C700" s="144" t="s">
        <v>693</v>
      </c>
      <c r="D700" s="144" t="s">
        <v>698</v>
      </c>
      <c r="E700" s="146">
        <v>0.14</v>
      </c>
    </row>
    <row r="701">
      <c r="A701" s="143">
        <v>700.0</v>
      </c>
      <c r="B701" s="144" t="s">
        <v>674</v>
      </c>
      <c r="C701" s="144" t="s">
        <v>699</v>
      </c>
      <c r="D701" s="144" t="s">
        <v>700</v>
      </c>
      <c r="E701" s="146">
        <v>0.14</v>
      </c>
    </row>
    <row r="702">
      <c r="A702" s="143">
        <v>701.0</v>
      </c>
      <c r="B702" s="144" t="s">
        <v>674</v>
      </c>
      <c r="C702" s="144" t="s">
        <v>699</v>
      </c>
      <c r="D702" s="144" t="s">
        <v>701</v>
      </c>
      <c r="E702" s="146">
        <v>0.14</v>
      </c>
    </row>
    <row r="703">
      <c r="A703" s="143">
        <v>702.0</v>
      </c>
      <c r="B703" s="144" t="s">
        <v>674</v>
      </c>
      <c r="C703" s="144" t="s">
        <v>699</v>
      </c>
      <c r="D703" s="144" t="s">
        <v>702</v>
      </c>
      <c r="E703" s="146">
        <v>0.14</v>
      </c>
    </row>
    <row r="704">
      <c r="A704" s="143">
        <v>703.0</v>
      </c>
      <c r="B704" s="144" t="s">
        <v>674</v>
      </c>
      <c r="C704" s="144" t="s">
        <v>699</v>
      </c>
      <c r="D704" s="144" t="s">
        <v>62</v>
      </c>
      <c r="E704" s="146">
        <v>0.14</v>
      </c>
    </row>
    <row r="705">
      <c r="A705" s="143">
        <v>704.0</v>
      </c>
      <c r="B705" s="144" t="s">
        <v>674</v>
      </c>
      <c r="C705" s="144" t="s">
        <v>703</v>
      </c>
      <c r="D705" s="144" t="s">
        <v>704</v>
      </c>
      <c r="E705" s="146">
        <v>0.14</v>
      </c>
    </row>
    <row r="706">
      <c r="A706" s="143">
        <v>705.0</v>
      </c>
      <c r="B706" s="144" t="s">
        <v>674</v>
      </c>
      <c r="C706" s="144" t="s">
        <v>703</v>
      </c>
      <c r="D706" s="144" t="s">
        <v>705</v>
      </c>
      <c r="E706" s="146">
        <v>0.14</v>
      </c>
    </row>
    <row r="707">
      <c r="A707" s="143">
        <v>706.0</v>
      </c>
      <c r="B707" s="144" t="s">
        <v>674</v>
      </c>
      <c r="C707" s="144" t="s">
        <v>703</v>
      </c>
      <c r="D707" s="144" t="s">
        <v>706</v>
      </c>
      <c r="E707" s="146">
        <v>0.14</v>
      </c>
    </row>
    <row r="708">
      <c r="A708" s="143">
        <v>707.0</v>
      </c>
      <c r="B708" s="144" t="s">
        <v>674</v>
      </c>
      <c r="C708" s="144" t="s">
        <v>703</v>
      </c>
      <c r="D708" s="144" t="s">
        <v>707</v>
      </c>
      <c r="E708" s="146">
        <v>0.14</v>
      </c>
    </row>
    <row r="709">
      <c r="A709" s="143">
        <v>708.0</v>
      </c>
      <c r="B709" s="144" t="s">
        <v>674</v>
      </c>
      <c r="C709" s="144" t="s">
        <v>703</v>
      </c>
      <c r="D709" s="144" t="s">
        <v>62</v>
      </c>
      <c r="E709" s="146">
        <v>0.14</v>
      </c>
    </row>
    <row r="710">
      <c r="A710" s="143">
        <v>709.0</v>
      </c>
      <c r="B710" s="144" t="s">
        <v>674</v>
      </c>
      <c r="C710" s="144" t="s">
        <v>708</v>
      </c>
      <c r="D710" s="144" t="s">
        <v>709</v>
      </c>
      <c r="E710" s="146">
        <v>0.14</v>
      </c>
    </row>
    <row r="711">
      <c r="A711" s="143">
        <v>710.0</v>
      </c>
      <c r="B711" s="144" t="s">
        <v>674</v>
      </c>
      <c r="C711" s="144" t="s">
        <v>708</v>
      </c>
      <c r="D711" s="144" t="s">
        <v>693</v>
      </c>
      <c r="E711" s="146">
        <v>0.14</v>
      </c>
    </row>
    <row r="712">
      <c r="A712" s="143">
        <v>711.0</v>
      </c>
      <c r="B712" s="144" t="s">
        <v>674</v>
      </c>
      <c r="C712" s="144" t="s">
        <v>708</v>
      </c>
      <c r="D712" s="144" t="s">
        <v>62</v>
      </c>
      <c r="E712" s="146">
        <v>0.14</v>
      </c>
    </row>
    <row r="713">
      <c r="A713" s="143">
        <v>712.0</v>
      </c>
      <c r="B713" s="144" t="s">
        <v>674</v>
      </c>
      <c r="C713" s="144" t="s">
        <v>708</v>
      </c>
      <c r="D713" s="144" t="s">
        <v>710</v>
      </c>
      <c r="E713" s="146">
        <v>0.14</v>
      </c>
    </row>
    <row r="714">
      <c r="A714" s="143">
        <v>713.0</v>
      </c>
      <c r="B714" s="144" t="s">
        <v>674</v>
      </c>
      <c r="C714" s="144" t="s">
        <v>708</v>
      </c>
      <c r="D714" s="144" t="s">
        <v>711</v>
      </c>
      <c r="E714" s="146">
        <v>0.14</v>
      </c>
    </row>
    <row r="715">
      <c r="A715" s="143">
        <v>714.0</v>
      </c>
      <c r="B715" s="144" t="s">
        <v>674</v>
      </c>
      <c r="C715" s="144" t="s">
        <v>62</v>
      </c>
      <c r="D715" s="147"/>
      <c r="E715" s="146">
        <v>0.14</v>
      </c>
    </row>
    <row r="716">
      <c r="A716" s="143">
        <v>715.0</v>
      </c>
      <c r="B716" s="144" t="s">
        <v>674</v>
      </c>
      <c r="C716" s="144" t="s">
        <v>712</v>
      </c>
      <c r="D716" s="147"/>
      <c r="E716" s="146">
        <v>0.14</v>
      </c>
    </row>
    <row r="717">
      <c r="A717" s="143">
        <v>716.0</v>
      </c>
      <c r="B717" s="144" t="s">
        <v>674</v>
      </c>
      <c r="C717" s="144" t="s">
        <v>713</v>
      </c>
      <c r="D717" s="144" t="s">
        <v>714</v>
      </c>
      <c r="E717" s="146">
        <v>0.14</v>
      </c>
    </row>
    <row r="718">
      <c r="A718" s="143">
        <v>717.0</v>
      </c>
      <c r="B718" s="144" t="s">
        <v>674</v>
      </c>
      <c r="C718" s="144" t="s">
        <v>713</v>
      </c>
      <c r="D718" s="144" t="s">
        <v>715</v>
      </c>
      <c r="E718" s="146">
        <v>0.14</v>
      </c>
    </row>
    <row r="719">
      <c r="A719" s="143">
        <v>718.0</v>
      </c>
      <c r="B719" s="144" t="s">
        <v>674</v>
      </c>
      <c r="C719" s="144" t="s">
        <v>713</v>
      </c>
      <c r="D719" s="144" t="s">
        <v>716</v>
      </c>
      <c r="E719" s="146">
        <v>0.14</v>
      </c>
    </row>
    <row r="720">
      <c r="A720" s="143">
        <v>719.0</v>
      </c>
      <c r="B720" s="144" t="s">
        <v>674</v>
      </c>
      <c r="C720" s="144" t="s">
        <v>713</v>
      </c>
      <c r="D720" s="144" t="s">
        <v>717</v>
      </c>
      <c r="E720" s="146">
        <v>0.14</v>
      </c>
    </row>
    <row r="721">
      <c r="A721" s="143">
        <v>720.0</v>
      </c>
      <c r="B721" s="144" t="s">
        <v>674</v>
      </c>
      <c r="C721" s="144" t="s">
        <v>713</v>
      </c>
      <c r="D721" s="144" t="s">
        <v>718</v>
      </c>
      <c r="E721" s="146">
        <v>0.14</v>
      </c>
    </row>
    <row r="722">
      <c r="A722" s="143">
        <v>721.0</v>
      </c>
      <c r="B722" s="144" t="s">
        <v>674</v>
      </c>
      <c r="C722" s="144" t="s">
        <v>713</v>
      </c>
      <c r="D722" s="144" t="s">
        <v>719</v>
      </c>
      <c r="E722" s="146">
        <v>0.14</v>
      </c>
    </row>
    <row r="723">
      <c r="A723" s="143">
        <v>722.0</v>
      </c>
      <c r="B723" s="144" t="s">
        <v>674</v>
      </c>
      <c r="C723" s="144" t="s">
        <v>713</v>
      </c>
      <c r="D723" s="144" t="s">
        <v>720</v>
      </c>
      <c r="E723" s="146">
        <v>0.14</v>
      </c>
    </row>
    <row r="724">
      <c r="A724" s="143">
        <v>723.0</v>
      </c>
      <c r="B724" s="144" t="s">
        <v>674</v>
      </c>
      <c r="C724" s="144" t="s">
        <v>713</v>
      </c>
      <c r="D724" s="144" t="s">
        <v>721</v>
      </c>
      <c r="E724" s="146">
        <v>0.14</v>
      </c>
    </row>
    <row r="725">
      <c r="A725" s="143">
        <v>724.0</v>
      </c>
      <c r="B725" s="144" t="s">
        <v>674</v>
      </c>
      <c r="C725" s="144" t="s">
        <v>713</v>
      </c>
      <c r="D725" s="144" t="s">
        <v>722</v>
      </c>
      <c r="E725" s="146">
        <v>0.14</v>
      </c>
    </row>
    <row r="726">
      <c r="A726" s="143">
        <v>725.0</v>
      </c>
      <c r="B726" s="144" t="s">
        <v>674</v>
      </c>
      <c r="C726" s="144" t="s">
        <v>713</v>
      </c>
      <c r="D726" s="144" t="s">
        <v>723</v>
      </c>
      <c r="E726" s="146">
        <v>0.14</v>
      </c>
    </row>
    <row r="727">
      <c r="A727" s="143">
        <v>726.0</v>
      </c>
      <c r="B727" s="144" t="s">
        <v>674</v>
      </c>
      <c r="C727" s="144" t="s">
        <v>713</v>
      </c>
      <c r="D727" s="144" t="s">
        <v>724</v>
      </c>
      <c r="E727" s="146">
        <v>0.14</v>
      </c>
    </row>
    <row r="728">
      <c r="A728" s="143">
        <v>727.0</v>
      </c>
      <c r="B728" s="144" t="s">
        <v>674</v>
      </c>
      <c r="C728" s="144" t="s">
        <v>713</v>
      </c>
      <c r="D728" s="144" t="s">
        <v>725</v>
      </c>
      <c r="E728" s="146">
        <v>0.14</v>
      </c>
    </row>
    <row r="729">
      <c r="A729" s="143">
        <v>728.0</v>
      </c>
      <c r="B729" s="144" t="s">
        <v>674</v>
      </c>
      <c r="C729" s="144" t="s">
        <v>713</v>
      </c>
      <c r="D729" s="144" t="s">
        <v>726</v>
      </c>
      <c r="E729" s="146">
        <v>0.14</v>
      </c>
    </row>
    <row r="730">
      <c r="A730" s="143">
        <v>729.0</v>
      </c>
      <c r="B730" s="144" t="s">
        <v>674</v>
      </c>
      <c r="C730" s="144" t="s">
        <v>713</v>
      </c>
      <c r="D730" s="144" t="s">
        <v>62</v>
      </c>
      <c r="E730" s="146">
        <v>0.14</v>
      </c>
    </row>
    <row r="731">
      <c r="A731" s="143">
        <v>730.0</v>
      </c>
      <c r="B731" s="144" t="s">
        <v>674</v>
      </c>
      <c r="C731" s="144" t="s">
        <v>713</v>
      </c>
      <c r="D731" s="144" t="s">
        <v>727</v>
      </c>
      <c r="E731" s="146">
        <v>0.14</v>
      </c>
    </row>
    <row r="732">
      <c r="A732" s="143">
        <v>731.0</v>
      </c>
      <c r="B732" s="144" t="s">
        <v>728</v>
      </c>
      <c r="C732" s="144" t="s">
        <v>729</v>
      </c>
      <c r="D732" s="144" t="s">
        <v>730</v>
      </c>
      <c r="E732" s="146">
        <v>0.14</v>
      </c>
    </row>
    <row r="733">
      <c r="A733" s="143">
        <v>732.0</v>
      </c>
      <c r="B733" s="144" t="s">
        <v>728</v>
      </c>
      <c r="C733" s="144" t="s">
        <v>729</v>
      </c>
      <c r="D733" s="144" t="s">
        <v>731</v>
      </c>
      <c r="E733" s="146">
        <v>0.14</v>
      </c>
    </row>
    <row r="734">
      <c r="A734" s="143">
        <v>733.0</v>
      </c>
      <c r="B734" s="144" t="s">
        <v>728</v>
      </c>
      <c r="C734" s="144" t="s">
        <v>729</v>
      </c>
      <c r="D734" s="144" t="s">
        <v>62</v>
      </c>
      <c r="E734" s="146">
        <v>0.14</v>
      </c>
    </row>
    <row r="735">
      <c r="A735" s="143">
        <v>734.0</v>
      </c>
      <c r="B735" s="144" t="s">
        <v>728</v>
      </c>
      <c r="C735" s="144" t="s">
        <v>729</v>
      </c>
      <c r="D735" s="144" t="s">
        <v>732</v>
      </c>
      <c r="E735" s="146">
        <v>0.14</v>
      </c>
    </row>
    <row r="736">
      <c r="A736" s="143">
        <v>735.0</v>
      </c>
      <c r="B736" s="144" t="s">
        <v>728</v>
      </c>
      <c r="C736" s="144" t="s">
        <v>729</v>
      </c>
      <c r="D736" s="144" t="s">
        <v>733</v>
      </c>
      <c r="E736" s="146">
        <v>0.14</v>
      </c>
    </row>
    <row r="737">
      <c r="A737" s="143">
        <v>736.0</v>
      </c>
      <c r="B737" s="144" t="s">
        <v>728</v>
      </c>
      <c r="C737" s="144" t="s">
        <v>62</v>
      </c>
      <c r="D737" s="147"/>
      <c r="E737" s="146">
        <v>0.14</v>
      </c>
    </row>
    <row r="738">
      <c r="A738" s="143">
        <v>737.0</v>
      </c>
      <c r="B738" s="144" t="s">
        <v>728</v>
      </c>
      <c r="C738" s="144" t="s">
        <v>734</v>
      </c>
      <c r="D738" s="144" t="s">
        <v>735</v>
      </c>
      <c r="E738" s="146">
        <v>0.135</v>
      </c>
    </row>
    <row r="739">
      <c r="A739" s="143">
        <v>738.0</v>
      </c>
      <c r="B739" s="144" t="s">
        <v>728</v>
      </c>
      <c r="C739" s="144" t="s">
        <v>734</v>
      </c>
      <c r="D739" s="144" t="s">
        <v>736</v>
      </c>
      <c r="E739" s="146">
        <v>0.135</v>
      </c>
    </row>
    <row r="740">
      <c r="A740" s="143">
        <v>739.0</v>
      </c>
      <c r="B740" s="144" t="s">
        <v>728</v>
      </c>
      <c r="C740" s="144" t="s">
        <v>734</v>
      </c>
      <c r="D740" s="144" t="s">
        <v>737</v>
      </c>
      <c r="E740" s="146">
        <v>0.135</v>
      </c>
    </row>
    <row r="741">
      <c r="A741" s="143">
        <v>740.0</v>
      </c>
      <c r="B741" s="144" t="s">
        <v>728</v>
      </c>
      <c r="C741" s="144" t="s">
        <v>734</v>
      </c>
      <c r="D741" s="144" t="s">
        <v>738</v>
      </c>
      <c r="E741" s="146">
        <v>0.135</v>
      </c>
    </row>
    <row r="742">
      <c r="A742" s="143">
        <v>741.0</v>
      </c>
      <c r="B742" s="144" t="s">
        <v>728</v>
      </c>
      <c r="C742" s="144" t="s">
        <v>734</v>
      </c>
      <c r="D742" s="144" t="s">
        <v>739</v>
      </c>
      <c r="E742" s="146">
        <v>0.135</v>
      </c>
    </row>
    <row r="743">
      <c r="A743" s="143">
        <v>742.0</v>
      </c>
      <c r="B743" s="144" t="s">
        <v>728</v>
      </c>
      <c r="C743" s="144" t="s">
        <v>734</v>
      </c>
      <c r="D743" s="144" t="s">
        <v>740</v>
      </c>
      <c r="E743" s="146">
        <v>0.135</v>
      </c>
    </row>
    <row r="744">
      <c r="A744" s="143">
        <v>743.0</v>
      </c>
      <c r="B744" s="144" t="s">
        <v>728</v>
      </c>
      <c r="C744" s="144" t="s">
        <v>734</v>
      </c>
      <c r="D744" s="144" t="s">
        <v>741</v>
      </c>
      <c r="E744" s="146">
        <v>0.135</v>
      </c>
    </row>
    <row r="745">
      <c r="A745" s="143">
        <v>744.0</v>
      </c>
      <c r="B745" s="144" t="s">
        <v>728</v>
      </c>
      <c r="C745" s="144" t="s">
        <v>734</v>
      </c>
      <c r="D745" s="144" t="s">
        <v>742</v>
      </c>
      <c r="E745" s="146">
        <v>0.135</v>
      </c>
    </row>
    <row r="746">
      <c r="A746" s="143">
        <v>745.0</v>
      </c>
      <c r="B746" s="144" t="s">
        <v>728</v>
      </c>
      <c r="C746" s="144" t="s">
        <v>734</v>
      </c>
      <c r="D746" s="144" t="s">
        <v>62</v>
      </c>
      <c r="E746" s="146">
        <v>0.135</v>
      </c>
    </row>
    <row r="747">
      <c r="A747" s="143">
        <v>746.0</v>
      </c>
      <c r="B747" s="144" t="s">
        <v>728</v>
      </c>
      <c r="C747" s="144" t="s">
        <v>743</v>
      </c>
      <c r="D747" s="144" t="s">
        <v>744</v>
      </c>
      <c r="E747" s="146">
        <v>0.14</v>
      </c>
    </row>
    <row r="748">
      <c r="A748" s="143">
        <v>747.0</v>
      </c>
      <c r="B748" s="144" t="s">
        <v>728</v>
      </c>
      <c r="C748" s="144" t="s">
        <v>743</v>
      </c>
      <c r="D748" s="144" t="s">
        <v>745</v>
      </c>
      <c r="E748" s="146">
        <v>0.14</v>
      </c>
    </row>
    <row r="749">
      <c r="A749" s="143">
        <v>748.0</v>
      </c>
      <c r="B749" s="144" t="s">
        <v>728</v>
      </c>
      <c r="C749" s="144" t="s">
        <v>743</v>
      </c>
      <c r="D749" s="144" t="s">
        <v>62</v>
      </c>
      <c r="E749" s="146">
        <v>0.14</v>
      </c>
    </row>
    <row r="750">
      <c r="A750" s="143">
        <v>749.0</v>
      </c>
      <c r="B750" s="144" t="s">
        <v>728</v>
      </c>
      <c r="C750" s="144" t="s">
        <v>743</v>
      </c>
      <c r="D750" s="144" t="s">
        <v>746</v>
      </c>
      <c r="E750" s="146">
        <v>0.14</v>
      </c>
    </row>
    <row r="751">
      <c r="A751" s="143">
        <v>750.0</v>
      </c>
      <c r="B751" s="144" t="s">
        <v>747</v>
      </c>
      <c r="C751" s="144" t="s">
        <v>748</v>
      </c>
      <c r="D751" s="144" t="s">
        <v>749</v>
      </c>
      <c r="E751" s="146">
        <v>0.13</v>
      </c>
    </row>
    <row r="752">
      <c r="A752" s="143">
        <v>751.0</v>
      </c>
      <c r="B752" s="144" t="s">
        <v>747</v>
      </c>
      <c r="C752" s="144" t="s">
        <v>748</v>
      </c>
      <c r="D752" s="144" t="s">
        <v>750</v>
      </c>
      <c r="E752" s="146">
        <v>0.13</v>
      </c>
    </row>
    <row r="753">
      <c r="A753" s="143">
        <v>752.0</v>
      </c>
      <c r="B753" s="144" t="s">
        <v>747</v>
      </c>
      <c r="C753" s="144" t="s">
        <v>748</v>
      </c>
      <c r="D753" s="144" t="s">
        <v>62</v>
      </c>
      <c r="E753" s="146">
        <v>0.13</v>
      </c>
    </row>
    <row r="754">
      <c r="A754" s="143">
        <v>753.0</v>
      </c>
      <c r="B754" s="144" t="s">
        <v>747</v>
      </c>
      <c r="C754" s="144" t="s">
        <v>748</v>
      </c>
      <c r="D754" s="144" t="s">
        <v>751</v>
      </c>
      <c r="E754" s="146">
        <v>0.13</v>
      </c>
    </row>
    <row r="755">
      <c r="A755" s="143">
        <v>754.0</v>
      </c>
      <c r="B755" s="144" t="s">
        <v>747</v>
      </c>
      <c r="C755" s="144" t="s">
        <v>748</v>
      </c>
      <c r="D755" s="144" t="s">
        <v>752</v>
      </c>
      <c r="E755" s="146">
        <v>0.13</v>
      </c>
    </row>
    <row r="756">
      <c r="A756" s="143">
        <v>755.0</v>
      </c>
      <c r="B756" s="144" t="s">
        <v>747</v>
      </c>
      <c r="C756" s="144" t="s">
        <v>753</v>
      </c>
      <c r="D756" s="144" t="s">
        <v>754</v>
      </c>
      <c r="E756" s="146">
        <v>0.13</v>
      </c>
    </row>
    <row r="757">
      <c r="A757" s="143">
        <v>756.0</v>
      </c>
      <c r="B757" s="144" t="s">
        <v>747</v>
      </c>
      <c r="C757" s="144" t="s">
        <v>753</v>
      </c>
      <c r="D757" s="144" t="s">
        <v>755</v>
      </c>
      <c r="E757" s="146">
        <v>0.13</v>
      </c>
    </row>
    <row r="758">
      <c r="A758" s="143">
        <v>757.0</v>
      </c>
      <c r="B758" s="144" t="s">
        <v>747</v>
      </c>
      <c r="C758" s="144" t="s">
        <v>753</v>
      </c>
      <c r="D758" s="144" t="s">
        <v>756</v>
      </c>
      <c r="E758" s="146">
        <v>0.13</v>
      </c>
    </row>
    <row r="759">
      <c r="A759" s="143">
        <v>758.0</v>
      </c>
      <c r="B759" s="144" t="s">
        <v>747</v>
      </c>
      <c r="C759" s="144" t="s">
        <v>753</v>
      </c>
      <c r="D759" s="144" t="s">
        <v>757</v>
      </c>
      <c r="E759" s="146">
        <v>0.13</v>
      </c>
    </row>
    <row r="760">
      <c r="A760" s="143">
        <v>759.0</v>
      </c>
      <c r="B760" s="144" t="s">
        <v>747</v>
      </c>
      <c r="C760" s="144" t="s">
        <v>753</v>
      </c>
      <c r="D760" s="144" t="s">
        <v>758</v>
      </c>
      <c r="E760" s="146">
        <v>0.11</v>
      </c>
    </row>
    <row r="761">
      <c r="A761" s="143">
        <v>760.0</v>
      </c>
      <c r="B761" s="144" t="s">
        <v>747</v>
      </c>
      <c r="C761" s="144" t="s">
        <v>753</v>
      </c>
      <c r="D761" s="144" t="s">
        <v>759</v>
      </c>
      <c r="E761" s="146">
        <v>0.13</v>
      </c>
    </row>
    <row r="762">
      <c r="A762" s="143">
        <v>761.0</v>
      </c>
      <c r="B762" s="144" t="s">
        <v>747</v>
      </c>
      <c r="C762" s="144" t="s">
        <v>753</v>
      </c>
      <c r="D762" s="144" t="s">
        <v>62</v>
      </c>
      <c r="E762" s="146">
        <v>0.13</v>
      </c>
    </row>
    <row r="763">
      <c r="A763" s="143">
        <v>762.0</v>
      </c>
      <c r="B763" s="144" t="s">
        <v>747</v>
      </c>
      <c r="C763" s="144" t="s">
        <v>760</v>
      </c>
      <c r="D763" s="147"/>
      <c r="E763" s="146">
        <v>0.11</v>
      </c>
    </row>
    <row r="764">
      <c r="A764" s="143">
        <v>763.0</v>
      </c>
      <c r="B764" s="144" t="s">
        <v>747</v>
      </c>
      <c r="C764" s="144" t="s">
        <v>62</v>
      </c>
      <c r="D764" s="147"/>
      <c r="E764" s="146">
        <v>0.13</v>
      </c>
    </row>
    <row r="765">
      <c r="A765" s="143">
        <v>764.0</v>
      </c>
      <c r="B765" s="144" t="s">
        <v>728</v>
      </c>
      <c r="C765" s="144" t="s">
        <v>761</v>
      </c>
      <c r="D765" s="144" t="s">
        <v>762</v>
      </c>
      <c r="E765" s="146">
        <v>0.125</v>
      </c>
    </row>
    <row r="766">
      <c r="A766" s="143">
        <v>765.0</v>
      </c>
      <c r="B766" s="144" t="s">
        <v>728</v>
      </c>
      <c r="C766" s="144" t="s">
        <v>761</v>
      </c>
      <c r="D766" s="144" t="s">
        <v>763</v>
      </c>
      <c r="E766" s="146">
        <v>0.125</v>
      </c>
    </row>
    <row r="767">
      <c r="A767" s="143">
        <v>766.0</v>
      </c>
      <c r="B767" s="144" t="s">
        <v>728</v>
      </c>
      <c r="C767" s="144" t="s">
        <v>761</v>
      </c>
      <c r="D767" s="144" t="s">
        <v>764</v>
      </c>
      <c r="E767" s="146">
        <v>0.125</v>
      </c>
    </row>
    <row r="768">
      <c r="A768" s="143">
        <v>767.0</v>
      </c>
      <c r="B768" s="144" t="s">
        <v>728</v>
      </c>
      <c r="C768" s="144" t="s">
        <v>761</v>
      </c>
      <c r="D768" s="144" t="s">
        <v>765</v>
      </c>
      <c r="E768" s="146">
        <v>0.125</v>
      </c>
    </row>
    <row r="769">
      <c r="A769" s="143">
        <v>768.0</v>
      </c>
      <c r="B769" s="144" t="s">
        <v>728</v>
      </c>
      <c r="C769" s="144" t="s">
        <v>761</v>
      </c>
      <c r="D769" s="144" t="s">
        <v>766</v>
      </c>
      <c r="E769" s="146">
        <v>0.125</v>
      </c>
    </row>
    <row r="770">
      <c r="A770" s="143">
        <v>769.0</v>
      </c>
      <c r="B770" s="144" t="s">
        <v>728</v>
      </c>
      <c r="C770" s="144" t="s">
        <v>761</v>
      </c>
      <c r="D770" s="144" t="s">
        <v>767</v>
      </c>
      <c r="E770" s="146">
        <v>0.125</v>
      </c>
    </row>
    <row r="771">
      <c r="A771" s="143">
        <v>770.0</v>
      </c>
      <c r="B771" s="144" t="s">
        <v>728</v>
      </c>
      <c r="C771" s="144" t="s">
        <v>761</v>
      </c>
      <c r="D771" s="144" t="s">
        <v>62</v>
      </c>
      <c r="E771" s="146">
        <v>0.125</v>
      </c>
    </row>
    <row r="772">
      <c r="A772" s="143">
        <v>771.0</v>
      </c>
      <c r="B772" s="144" t="s">
        <v>728</v>
      </c>
      <c r="C772" s="144" t="s">
        <v>761</v>
      </c>
      <c r="D772" s="144" t="s">
        <v>768</v>
      </c>
      <c r="E772" s="146">
        <v>0.125</v>
      </c>
    </row>
    <row r="773">
      <c r="A773" s="143">
        <v>772.0</v>
      </c>
      <c r="B773" s="144" t="s">
        <v>728</v>
      </c>
      <c r="C773" s="144" t="s">
        <v>761</v>
      </c>
      <c r="D773" s="144" t="s">
        <v>769</v>
      </c>
      <c r="E773" s="146">
        <v>0.125</v>
      </c>
    </row>
    <row r="774">
      <c r="A774" s="143">
        <v>773.0</v>
      </c>
      <c r="B774" s="144" t="s">
        <v>728</v>
      </c>
      <c r="C774" s="144" t="s">
        <v>761</v>
      </c>
      <c r="D774" s="144" t="s">
        <v>770</v>
      </c>
      <c r="E774" s="146">
        <v>0.125</v>
      </c>
    </row>
    <row r="775">
      <c r="A775" s="143">
        <v>774.0</v>
      </c>
      <c r="B775" s="144" t="s">
        <v>728</v>
      </c>
      <c r="C775" s="144" t="s">
        <v>761</v>
      </c>
      <c r="D775" s="144" t="s">
        <v>771</v>
      </c>
      <c r="E775" s="146">
        <v>0.125</v>
      </c>
    </row>
    <row r="776">
      <c r="A776" s="143">
        <v>775.0</v>
      </c>
      <c r="B776" s="144" t="s">
        <v>728</v>
      </c>
      <c r="C776" s="144" t="s">
        <v>761</v>
      </c>
      <c r="D776" s="144" t="s">
        <v>772</v>
      </c>
      <c r="E776" s="146">
        <v>0.125</v>
      </c>
    </row>
    <row r="777">
      <c r="A777" s="143">
        <v>776.0</v>
      </c>
      <c r="B777" s="144" t="s">
        <v>728</v>
      </c>
      <c r="C777" s="144" t="s">
        <v>761</v>
      </c>
      <c r="D777" s="144" t="s">
        <v>773</v>
      </c>
      <c r="E777" s="146">
        <v>0.125</v>
      </c>
    </row>
    <row r="778">
      <c r="A778" s="143">
        <v>777.0</v>
      </c>
      <c r="B778" s="144" t="s">
        <v>650</v>
      </c>
      <c r="C778" s="144" t="s">
        <v>774</v>
      </c>
      <c r="D778" s="144" t="s">
        <v>775</v>
      </c>
      <c r="E778" s="146">
        <v>0.115</v>
      </c>
    </row>
    <row r="779">
      <c r="A779" s="143">
        <v>778.0</v>
      </c>
      <c r="B779" s="144" t="s">
        <v>650</v>
      </c>
      <c r="C779" s="144" t="s">
        <v>774</v>
      </c>
      <c r="D779" s="144" t="s">
        <v>776</v>
      </c>
      <c r="E779" s="146">
        <v>0.115</v>
      </c>
    </row>
    <row r="780">
      <c r="A780" s="143">
        <v>779.0</v>
      </c>
      <c r="B780" s="144" t="s">
        <v>650</v>
      </c>
      <c r="C780" s="144" t="s">
        <v>774</v>
      </c>
      <c r="D780" s="144" t="s">
        <v>62</v>
      </c>
      <c r="E780" s="146">
        <v>0.115</v>
      </c>
    </row>
    <row r="781">
      <c r="A781" s="143">
        <v>780.0</v>
      </c>
      <c r="B781" s="144" t="s">
        <v>650</v>
      </c>
      <c r="C781" s="144" t="s">
        <v>777</v>
      </c>
      <c r="D781" s="144" t="s">
        <v>778</v>
      </c>
      <c r="E781" s="146">
        <v>0.13</v>
      </c>
    </row>
    <row r="782">
      <c r="A782" s="143">
        <v>781.0</v>
      </c>
      <c r="B782" s="144" t="s">
        <v>650</v>
      </c>
      <c r="C782" s="144" t="s">
        <v>777</v>
      </c>
      <c r="D782" s="144" t="s">
        <v>779</v>
      </c>
      <c r="E782" s="146">
        <v>0.13</v>
      </c>
    </row>
    <row r="783">
      <c r="A783" s="143">
        <v>782.0</v>
      </c>
      <c r="B783" s="144" t="s">
        <v>650</v>
      </c>
      <c r="C783" s="144" t="s">
        <v>777</v>
      </c>
      <c r="D783" s="144" t="s">
        <v>780</v>
      </c>
      <c r="E783" s="146">
        <v>0.13</v>
      </c>
    </row>
    <row r="784">
      <c r="A784" s="143">
        <v>783.0</v>
      </c>
      <c r="B784" s="144" t="s">
        <v>650</v>
      </c>
      <c r="C784" s="144" t="s">
        <v>777</v>
      </c>
      <c r="D784" s="144" t="s">
        <v>781</v>
      </c>
      <c r="E784" s="146">
        <v>0.13</v>
      </c>
    </row>
    <row r="785">
      <c r="A785" s="143">
        <v>784.0</v>
      </c>
      <c r="B785" s="144" t="s">
        <v>650</v>
      </c>
      <c r="C785" s="144" t="s">
        <v>777</v>
      </c>
      <c r="D785" s="144" t="s">
        <v>782</v>
      </c>
      <c r="E785" s="146">
        <v>0.13</v>
      </c>
    </row>
    <row r="786">
      <c r="A786" s="143">
        <v>785.0</v>
      </c>
      <c r="B786" s="144" t="s">
        <v>650</v>
      </c>
      <c r="C786" s="144" t="s">
        <v>777</v>
      </c>
      <c r="D786" s="144" t="s">
        <v>62</v>
      </c>
      <c r="E786" s="146">
        <v>0.13</v>
      </c>
    </row>
    <row r="787">
      <c r="A787" s="143">
        <v>786.0</v>
      </c>
      <c r="B787" s="144" t="s">
        <v>650</v>
      </c>
      <c r="C787" s="144" t="s">
        <v>777</v>
      </c>
      <c r="D787" s="144" t="s">
        <v>783</v>
      </c>
      <c r="E787" s="146">
        <v>0.13</v>
      </c>
    </row>
    <row r="788">
      <c r="A788" s="143">
        <v>787.0</v>
      </c>
      <c r="B788" s="144" t="s">
        <v>650</v>
      </c>
      <c r="C788" s="144" t="s">
        <v>651</v>
      </c>
      <c r="D788" s="144" t="s">
        <v>784</v>
      </c>
      <c r="E788" s="146">
        <v>0.125</v>
      </c>
    </row>
    <row r="789">
      <c r="A789" s="143">
        <v>788.0</v>
      </c>
      <c r="B789" s="144" t="s">
        <v>650</v>
      </c>
      <c r="C789" s="144" t="s">
        <v>651</v>
      </c>
      <c r="D789" s="144" t="s">
        <v>785</v>
      </c>
      <c r="E789" s="146">
        <v>0.12</v>
      </c>
    </row>
    <row r="790">
      <c r="A790" s="143">
        <v>789.0</v>
      </c>
      <c r="B790" s="144" t="s">
        <v>650</v>
      </c>
      <c r="C790" s="144" t="s">
        <v>651</v>
      </c>
      <c r="D790" s="144" t="s">
        <v>786</v>
      </c>
      <c r="E790" s="146">
        <v>0.125</v>
      </c>
    </row>
    <row r="791">
      <c r="A791" s="143">
        <v>790.0</v>
      </c>
      <c r="B791" s="144" t="s">
        <v>650</v>
      </c>
      <c r="C791" s="144" t="s">
        <v>651</v>
      </c>
      <c r="D791" s="144" t="s">
        <v>787</v>
      </c>
      <c r="E791" s="146">
        <v>0.125</v>
      </c>
    </row>
    <row r="792">
      <c r="A792" s="143">
        <v>791.0</v>
      </c>
      <c r="B792" s="144" t="s">
        <v>650</v>
      </c>
      <c r="C792" s="144" t="s">
        <v>651</v>
      </c>
      <c r="D792" s="144" t="s">
        <v>62</v>
      </c>
      <c r="E792" s="146">
        <v>0.125</v>
      </c>
    </row>
    <row r="793">
      <c r="A793" s="143">
        <v>792.0</v>
      </c>
      <c r="B793" s="144" t="s">
        <v>650</v>
      </c>
      <c r="C793" s="144" t="s">
        <v>651</v>
      </c>
      <c r="D793" s="144" t="s">
        <v>788</v>
      </c>
      <c r="E793" s="146">
        <v>0.125</v>
      </c>
    </row>
    <row r="794">
      <c r="A794" s="143">
        <v>793.0</v>
      </c>
      <c r="B794" s="144" t="s">
        <v>650</v>
      </c>
      <c r="C794" s="144" t="s">
        <v>651</v>
      </c>
      <c r="D794" s="144" t="s">
        <v>789</v>
      </c>
      <c r="E794" s="146">
        <v>0.12</v>
      </c>
    </row>
    <row r="795">
      <c r="A795" s="143">
        <v>794.0</v>
      </c>
      <c r="B795" s="144" t="s">
        <v>650</v>
      </c>
      <c r="C795" s="144" t="s">
        <v>790</v>
      </c>
      <c r="D795" s="144" t="s">
        <v>791</v>
      </c>
      <c r="E795" s="146">
        <v>0.115</v>
      </c>
    </row>
    <row r="796">
      <c r="A796" s="143">
        <v>795.0</v>
      </c>
      <c r="B796" s="144" t="s">
        <v>650</v>
      </c>
      <c r="C796" s="144" t="s">
        <v>790</v>
      </c>
      <c r="D796" s="144" t="s">
        <v>792</v>
      </c>
      <c r="E796" s="146">
        <v>0.115</v>
      </c>
    </row>
    <row r="797">
      <c r="A797" s="143">
        <v>796.0</v>
      </c>
      <c r="B797" s="144" t="s">
        <v>650</v>
      </c>
      <c r="C797" s="144" t="s">
        <v>790</v>
      </c>
      <c r="D797" s="144" t="s">
        <v>793</v>
      </c>
      <c r="E797" s="146">
        <v>0.115</v>
      </c>
    </row>
    <row r="798">
      <c r="A798" s="143">
        <v>797.0</v>
      </c>
      <c r="B798" s="144" t="s">
        <v>650</v>
      </c>
      <c r="C798" s="144" t="s">
        <v>790</v>
      </c>
      <c r="D798" s="144" t="s">
        <v>794</v>
      </c>
      <c r="E798" s="146">
        <v>0.115</v>
      </c>
    </row>
    <row r="799">
      <c r="A799" s="143">
        <v>798.0</v>
      </c>
      <c r="B799" s="144" t="s">
        <v>650</v>
      </c>
      <c r="C799" s="144" t="s">
        <v>790</v>
      </c>
      <c r="D799" s="144" t="s">
        <v>795</v>
      </c>
      <c r="E799" s="146">
        <v>0.115</v>
      </c>
    </row>
    <row r="800">
      <c r="A800" s="143">
        <v>799.0</v>
      </c>
      <c r="B800" s="144" t="s">
        <v>650</v>
      </c>
      <c r="C800" s="144" t="s">
        <v>790</v>
      </c>
      <c r="D800" s="144" t="s">
        <v>796</v>
      </c>
      <c r="E800" s="146">
        <v>0.115</v>
      </c>
    </row>
    <row r="801">
      <c r="A801" s="143">
        <v>800.0</v>
      </c>
      <c r="B801" s="144" t="s">
        <v>650</v>
      </c>
      <c r="C801" s="144" t="s">
        <v>790</v>
      </c>
      <c r="D801" s="144" t="s">
        <v>797</v>
      </c>
      <c r="E801" s="146">
        <v>0.115</v>
      </c>
    </row>
    <row r="802">
      <c r="A802" s="143">
        <v>801.0</v>
      </c>
      <c r="B802" s="144" t="s">
        <v>650</v>
      </c>
      <c r="C802" s="144" t="s">
        <v>790</v>
      </c>
      <c r="D802" s="144" t="s">
        <v>798</v>
      </c>
      <c r="E802" s="146">
        <v>0.115</v>
      </c>
    </row>
    <row r="803">
      <c r="A803" s="143">
        <v>802.0</v>
      </c>
      <c r="B803" s="144" t="s">
        <v>650</v>
      </c>
      <c r="C803" s="144" t="s">
        <v>799</v>
      </c>
      <c r="D803" s="144" t="s">
        <v>800</v>
      </c>
      <c r="E803" s="146">
        <v>0.11</v>
      </c>
    </row>
    <row r="804">
      <c r="A804" s="143">
        <v>803.0</v>
      </c>
      <c r="B804" s="144" t="s">
        <v>650</v>
      </c>
      <c r="C804" s="144" t="s">
        <v>665</v>
      </c>
      <c r="D804" s="144" t="s">
        <v>801</v>
      </c>
      <c r="E804" s="146">
        <v>0.13</v>
      </c>
    </row>
    <row r="805">
      <c r="A805" s="143">
        <v>804.0</v>
      </c>
      <c r="B805" s="144" t="s">
        <v>650</v>
      </c>
      <c r="C805" s="144" t="s">
        <v>665</v>
      </c>
      <c r="D805" s="144" t="s">
        <v>62</v>
      </c>
      <c r="E805" s="146">
        <v>0.13</v>
      </c>
    </row>
    <row r="806">
      <c r="A806" s="143">
        <v>805.0</v>
      </c>
      <c r="B806" s="144" t="s">
        <v>650</v>
      </c>
      <c r="C806" s="144" t="s">
        <v>668</v>
      </c>
      <c r="D806" s="144" t="s">
        <v>802</v>
      </c>
      <c r="E806" s="146">
        <v>0.125</v>
      </c>
    </row>
    <row r="807">
      <c r="A807" s="143">
        <v>806.0</v>
      </c>
      <c r="B807" s="144" t="s">
        <v>650</v>
      </c>
      <c r="C807" s="144" t="s">
        <v>668</v>
      </c>
      <c r="D807" s="144" t="s">
        <v>62</v>
      </c>
      <c r="E807" s="146">
        <v>0.125</v>
      </c>
    </row>
    <row r="808">
      <c r="A808" s="143">
        <v>807.0</v>
      </c>
      <c r="B808" s="144" t="s">
        <v>650</v>
      </c>
      <c r="C808" s="144" t="s">
        <v>668</v>
      </c>
      <c r="D808" s="144" t="s">
        <v>803</v>
      </c>
      <c r="E808" s="146">
        <v>0.125</v>
      </c>
    </row>
    <row r="809">
      <c r="A809" s="143">
        <v>808.0</v>
      </c>
      <c r="B809" s="144" t="s">
        <v>650</v>
      </c>
      <c r="C809" s="144" t="s">
        <v>62</v>
      </c>
      <c r="D809" s="147"/>
      <c r="E809" s="146">
        <v>0.13</v>
      </c>
    </row>
    <row r="810">
      <c r="A810" s="143">
        <v>809.0</v>
      </c>
      <c r="B810" s="144" t="s">
        <v>650</v>
      </c>
      <c r="C810" s="144" t="s">
        <v>672</v>
      </c>
      <c r="D810" s="144" t="s">
        <v>804</v>
      </c>
      <c r="E810" s="146">
        <v>0.125</v>
      </c>
    </row>
    <row r="811">
      <c r="A811" s="143">
        <v>810.0</v>
      </c>
      <c r="B811" s="144" t="s">
        <v>650</v>
      </c>
      <c r="C811" s="144" t="s">
        <v>672</v>
      </c>
      <c r="D811" s="144" t="s">
        <v>805</v>
      </c>
      <c r="E811" s="146">
        <v>0.125</v>
      </c>
    </row>
    <row r="812">
      <c r="A812" s="143">
        <v>811.0</v>
      </c>
      <c r="B812" s="144" t="s">
        <v>650</v>
      </c>
      <c r="C812" s="144" t="s">
        <v>672</v>
      </c>
      <c r="D812" s="144" t="s">
        <v>806</v>
      </c>
      <c r="E812" s="146">
        <v>0.125</v>
      </c>
    </row>
    <row r="813">
      <c r="A813" s="143">
        <v>812.0</v>
      </c>
      <c r="B813" s="144" t="s">
        <v>650</v>
      </c>
      <c r="C813" s="144" t="s">
        <v>672</v>
      </c>
      <c r="D813" s="144" t="s">
        <v>62</v>
      </c>
      <c r="E813" s="146">
        <v>0.125</v>
      </c>
    </row>
    <row r="814">
      <c r="A814" s="143">
        <v>813.0</v>
      </c>
      <c r="B814" s="144" t="s">
        <v>650</v>
      </c>
      <c r="C814" s="144" t="s">
        <v>672</v>
      </c>
      <c r="D814" s="144" t="s">
        <v>807</v>
      </c>
      <c r="E814" s="146">
        <v>0.125</v>
      </c>
    </row>
    <row r="815">
      <c r="A815" s="143">
        <v>814.0</v>
      </c>
      <c r="B815" s="144" t="s">
        <v>650</v>
      </c>
      <c r="C815" s="144" t="s">
        <v>672</v>
      </c>
      <c r="D815" s="144" t="s">
        <v>808</v>
      </c>
      <c r="E815" s="146">
        <v>0.125</v>
      </c>
    </row>
    <row r="816">
      <c r="A816" s="143">
        <v>815.0</v>
      </c>
      <c r="B816" s="144" t="s">
        <v>650</v>
      </c>
      <c r="C816" s="144" t="s">
        <v>672</v>
      </c>
      <c r="D816" s="144" t="s">
        <v>809</v>
      </c>
      <c r="E816" s="146">
        <v>0.125</v>
      </c>
    </row>
    <row r="817">
      <c r="A817" s="143">
        <v>816.0</v>
      </c>
      <c r="B817" s="144" t="s">
        <v>650</v>
      </c>
      <c r="C817" s="144" t="s">
        <v>672</v>
      </c>
      <c r="D817" s="144" t="s">
        <v>810</v>
      </c>
      <c r="E817" s="146">
        <v>0.125</v>
      </c>
    </row>
    <row r="818">
      <c r="A818" s="143">
        <v>817.0</v>
      </c>
      <c r="B818" s="144" t="s">
        <v>650</v>
      </c>
      <c r="C818" s="144" t="s">
        <v>672</v>
      </c>
      <c r="D818" s="144" t="s">
        <v>811</v>
      </c>
      <c r="E818" s="146">
        <v>0.125</v>
      </c>
    </row>
    <row r="819">
      <c r="A819" s="143">
        <v>818.0</v>
      </c>
      <c r="B819" s="144" t="s">
        <v>812</v>
      </c>
      <c r="C819" s="144" t="s">
        <v>813</v>
      </c>
      <c r="D819" s="144" t="s">
        <v>814</v>
      </c>
      <c r="E819" s="146">
        <v>0.13</v>
      </c>
    </row>
    <row r="820">
      <c r="A820" s="143">
        <v>819.0</v>
      </c>
      <c r="B820" s="144" t="s">
        <v>812</v>
      </c>
      <c r="C820" s="144" t="s">
        <v>813</v>
      </c>
      <c r="D820" s="144" t="s">
        <v>815</v>
      </c>
      <c r="E820" s="146">
        <v>0.13</v>
      </c>
    </row>
    <row r="821">
      <c r="A821" s="143">
        <v>820.0</v>
      </c>
      <c r="B821" s="144" t="s">
        <v>812</v>
      </c>
      <c r="C821" s="144" t="s">
        <v>813</v>
      </c>
      <c r="D821" s="144" t="s">
        <v>816</v>
      </c>
      <c r="E821" s="146">
        <v>0.13</v>
      </c>
    </row>
    <row r="822">
      <c r="A822" s="143">
        <v>821.0</v>
      </c>
      <c r="B822" s="144" t="s">
        <v>812</v>
      </c>
      <c r="C822" s="144" t="s">
        <v>813</v>
      </c>
      <c r="D822" s="144" t="s">
        <v>62</v>
      </c>
      <c r="E822" s="146">
        <v>0.13</v>
      </c>
    </row>
    <row r="823">
      <c r="A823" s="143">
        <v>822.0</v>
      </c>
      <c r="B823" s="144" t="s">
        <v>812</v>
      </c>
      <c r="C823" s="144" t="s">
        <v>813</v>
      </c>
      <c r="D823" s="144" t="s">
        <v>817</v>
      </c>
      <c r="E823" s="146">
        <v>0.13</v>
      </c>
    </row>
    <row r="824">
      <c r="A824" s="143">
        <v>823.0</v>
      </c>
      <c r="B824" s="144" t="s">
        <v>812</v>
      </c>
      <c r="C824" s="144" t="s">
        <v>813</v>
      </c>
      <c r="D824" s="144" t="s">
        <v>818</v>
      </c>
      <c r="E824" s="146">
        <v>0.13</v>
      </c>
    </row>
    <row r="825">
      <c r="A825" s="143">
        <v>824.0</v>
      </c>
      <c r="B825" s="144" t="s">
        <v>812</v>
      </c>
      <c r="C825" s="144" t="s">
        <v>62</v>
      </c>
      <c r="D825" s="147"/>
      <c r="E825" s="146">
        <v>0.13</v>
      </c>
    </row>
    <row r="826">
      <c r="A826" s="143">
        <v>825.0</v>
      </c>
      <c r="B826" s="144" t="s">
        <v>812</v>
      </c>
      <c r="C826" s="144" t="s">
        <v>819</v>
      </c>
      <c r="D826" s="144" t="s">
        <v>820</v>
      </c>
      <c r="E826" s="146">
        <v>0.13</v>
      </c>
    </row>
    <row r="827">
      <c r="A827" s="143">
        <v>826.0</v>
      </c>
      <c r="B827" s="144" t="s">
        <v>812</v>
      </c>
      <c r="C827" s="144" t="s">
        <v>819</v>
      </c>
      <c r="D827" s="144" t="s">
        <v>821</v>
      </c>
      <c r="E827" s="146">
        <v>0.13</v>
      </c>
    </row>
    <row r="828">
      <c r="A828" s="143">
        <v>827.0</v>
      </c>
      <c r="B828" s="144" t="s">
        <v>812</v>
      </c>
      <c r="C828" s="144" t="s">
        <v>819</v>
      </c>
      <c r="D828" s="144" t="s">
        <v>822</v>
      </c>
      <c r="E828" s="146">
        <v>0.13</v>
      </c>
    </row>
    <row r="829">
      <c r="A829" s="143">
        <v>828.0</v>
      </c>
      <c r="B829" s="144" t="s">
        <v>812</v>
      </c>
      <c r="C829" s="144" t="s">
        <v>819</v>
      </c>
      <c r="D829" s="144" t="s">
        <v>62</v>
      </c>
      <c r="E829" s="146">
        <v>0.13</v>
      </c>
    </row>
    <row r="830">
      <c r="A830" s="143">
        <v>829.0</v>
      </c>
      <c r="B830" s="144" t="s">
        <v>812</v>
      </c>
      <c r="C830" s="144" t="s">
        <v>819</v>
      </c>
      <c r="D830" s="144" t="s">
        <v>823</v>
      </c>
      <c r="E830" s="146">
        <v>0.13</v>
      </c>
    </row>
    <row r="831">
      <c r="A831" s="143">
        <v>830.0</v>
      </c>
      <c r="B831" s="144" t="s">
        <v>812</v>
      </c>
      <c r="C831" s="144" t="s">
        <v>819</v>
      </c>
      <c r="D831" s="144" t="s">
        <v>672</v>
      </c>
      <c r="E831" s="146">
        <v>0.13</v>
      </c>
    </row>
    <row r="832">
      <c r="A832" s="143">
        <v>831.0</v>
      </c>
      <c r="B832" s="144" t="s">
        <v>812</v>
      </c>
      <c r="C832" s="144" t="s">
        <v>819</v>
      </c>
      <c r="D832" s="144" t="s">
        <v>824</v>
      </c>
      <c r="E832" s="146">
        <v>0.13</v>
      </c>
    </row>
    <row r="833">
      <c r="A833" s="143">
        <v>832.0</v>
      </c>
      <c r="B833" s="144" t="s">
        <v>812</v>
      </c>
      <c r="C833" s="144" t="s">
        <v>825</v>
      </c>
      <c r="D833" s="144" t="s">
        <v>826</v>
      </c>
      <c r="E833" s="146">
        <v>0.13</v>
      </c>
    </row>
    <row r="834">
      <c r="A834" s="143">
        <v>833.0</v>
      </c>
      <c r="B834" s="144" t="s">
        <v>812</v>
      </c>
      <c r="C834" s="144" t="s">
        <v>825</v>
      </c>
      <c r="D834" s="144" t="s">
        <v>374</v>
      </c>
      <c r="E834" s="146">
        <v>0.13</v>
      </c>
    </row>
    <row r="835">
      <c r="A835" s="143">
        <v>834.0</v>
      </c>
      <c r="B835" s="144" t="s">
        <v>812</v>
      </c>
      <c r="C835" s="144" t="s">
        <v>825</v>
      </c>
      <c r="D835" s="144" t="s">
        <v>827</v>
      </c>
      <c r="E835" s="146">
        <v>0.13</v>
      </c>
    </row>
    <row r="836">
      <c r="A836" s="143">
        <v>835.0</v>
      </c>
      <c r="B836" s="144" t="s">
        <v>812</v>
      </c>
      <c r="C836" s="144" t="s">
        <v>825</v>
      </c>
      <c r="D836" s="144" t="s">
        <v>828</v>
      </c>
      <c r="E836" s="146">
        <v>0.13</v>
      </c>
    </row>
    <row r="837">
      <c r="A837" s="143">
        <v>836.0</v>
      </c>
      <c r="B837" s="144" t="s">
        <v>812</v>
      </c>
      <c r="C837" s="144" t="s">
        <v>825</v>
      </c>
      <c r="D837" s="144" t="s">
        <v>829</v>
      </c>
      <c r="E837" s="146">
        <v>0.13</v>
      </c>
    </row>
    <row r="838">
      <c r="A838" s="143">
        <v>837.0</v>
      </c>
      <c r="B838" s="144" t="s">
        <v>812</v>
      </c>
      <c r="C838" s="144" t="s">
        <v>825</v>
      </c>
      <c r="D838" s="144" t="s">
        <v>62</v>
      </c>
      <c r="E838" s="146">
        <v>0.13</v>
      </c>
    </row>
    <row r="839">
      <c r="A839" s="143">
        <v>838.0</v>
      </c>
      <c r="B839" s="144" t="s">
        <v>812</v>
      </c>
      <c r="C839" s="144" t="s">
        <v>825</v>
      </c>
      <c r="D839" s="144" t="s">
        <v>830</v>
      </c>
      <c r="E839" s="146">
        <v>0.13</v>
      </c>
    </row>
    <row r="840">
      <c r="A840" s="143">
        <v>839.0</v>
      </c>
      <c r="B840" s="144" t="s">
        <v>812</v>
      </c>
      <c r="C840" s="144" t="s">
        <v>825</v>
      </c>
      <c r="D840" s="144" t="s">
        <v>831</v>
      </c>
      <c r="E840" s="146">
        <v>0.13</v>
      </c>
    </row>
    <row r="841">
      <c r="A841" s="143">
        <v>840.0</v>
      </c>
      <c r="B841" s="144" t="s">
        <v>812</v>
      </c>
      <c r="C841" s="144" t="s">
        <v>832</v>
      </c>
      <c r="D841" s="144" t="s">
        <v>833</v>
      </c>
      <c r="E841" s="146">
        <v>0.13</v>
      </c>
    </row>
    <row r="842">
      <c r="A842" s="143">
        <v>841.0</v>
      </c>
      <c r="B842" s="144" t="s">
        <v>812</v>
      </c>
      <c r="C842" s="144" t="s">
        <v>832</v>
      </c>
      <c r="D842" s="144" t="s">
        <v>834</v>
      </c>
      <c r="E842" s="146">
        <v>0.13</v>
      </c>
    </row>
    <row r="843">
      <c r="A843" s="143">
        <v>842.0</v>
      </c>
      <c r="B843" s="144" t="s">
        <v>812</v>
      </c>
      <c r="C843" s="144" t="s">
        <v>832</v>
      </c>
      <c r="D843" s="144" t="s">
        <v>835</v>
      </c>
      <c r="E843" s="146">
        <v>0.13</v>
      </c>
    </row>
    <row r="844">
      <c r="A844" s="143">
        <v>843.0</v>
      </c>
      <c r="B844" s="144" t="s">
        <v>812</v>
      </c>
      <c r="C844" s="144" t="s">
        <v>832</v>
      </c>
      <c r="D844" s="144" t="s">
        <v>836</v>
      </c>
      <c r="E844" s="146">
        <v>0.13</v>
      </c>
    </row>
    <row r="845">
      <c r="A845" s="143">
        <v>844.0</v>
      </c>
      <c r="B845" s="144" t="s">
        <v>812</v>
      </c>
      <c r="C845" s="144" t="s">
        <v>832</v>
      </c>
      <c r="D845" s="144" t="s">
        <v>837</v>
      </c>
      <c r="E845" s="146">
        <v>0.13</v>
      </c>
    </row>
    <row r="846">
      <c r="A846" s="143">
        <v>845.0</v>
      </c>
      <c r="B846" s="144" t="s">
        <v>812</v>
      </c>
      <c r="C846" s="144" t="s">
        <v>832</v>
      </c>
      <c r="D846" s="144" t="s">
        <v>838</v>
      </c>
      <c r="E846" s="146">
        <v>0.13</v>
      </c>
    </row>
    <row r="847">
      <c r="A847" s="143">
        <v>846.0</v>
      </c>
      <c r="B847" s="144" t="s">
        <v>812</v>
      </c>
      <c r="C847" s="144" t="s">
        <v>832</v>
      </c>
      <c r="D847" s="144" t="s">
        <v>62</v>
      </c>
      <c r="E847" s="146">
        <v>0.13</v>
      </c>
    </row>
    <row r="848">
      <c r="A848" s="143">
        <v>847.0</v>
      </c>
      <c r="B848" s="144" t="s">
        <v>812</v>
      </c>
      <c r="C848" s="144" t="s">
        <v>832</v>
      </c>
      <c r="D848" s="144" t="s">
        <v>839</v>
      </c>
      <c r="E848" s="146">
        <v>0.13</v>
      </c>
    </row>
    <row r="849">
      <c r="A849" s="143">
        <v>848.0</v>
      </c>
      <c r="B849" s="144" t="s">
        <v>812</v>
      </c>
      <c r="C849" s="144" t="s">
        <v>832</v>
      </c>
      <c r="D849" s="144" t="s">
        <v>840</v>
      </c>
      <c r="E849" s="146">
        <v>0.13</v>
      </c>
    </row>
    <row r="850">
      <c r="A850" s="143">
        <v>849.0</v>
      </c>
      <c r="B850" s="144" t="s">
        <v>812</v>
      </c>
      <c r="C850" s="144" t="s">
        <v>832</v>
      </c>
      <c r="D850" s="144" t="s">
        <v>841</v>
      </c>
      <c r="E850" s="146">
        <v>0.13</v>
      </c>
    </row>
    <row r="851">
      <c r="A851" s="143">
        <v>850.0</v>
      </c>
      <c r="B851" s="144" t="s">
        <v>812</v>
      </c>
      <c r="C851" s="144" t="s">
        <v>842</v>
      </c>
      <c r="D851" s="144" t="s">
        <v>702</v>
      </c>
      <c r="E851" s="146">
        <v>0.13</v>
      </c>
    </row>
    <row r="852">
      <c r="A852" s="143">
        <v>851.0</v>
      </c>
      <c r="B852" s="144" t="s">
        <v>812</v>
      </c>
      <c r="C852" s="144" t="s">
        <v>842</v>
      </c>
      <c r="D852" s="144" t="s">
        <v>843</v>
      </c>
      <c r="E852" s="146">
        <v>0.13</v>
      </c>
    </row>
    <row r="853">
      <c r="A853" s="143">
        <v>852.0</v>
      </c>
      <c r="B853" s="144" t="s">
        <v>812</v>
      </c>
      <c r="C853" s="144" t="s">
        <v>842</v>
      </c>
      <c r="D853" s="144" t="s">
        <v>844</v>
      </c>
      <c r="E853" s="146">
        <v>0.13</v>
      </c>
    </row>
    <row r="854">
      <c r="A854" s="143">
        <v>853.0</v>
      </c>
      <c r="B854" s="144" t="s">
        <v>812</v>
      </c>
      <c r="C854" s="144" t="s">
        <v>842</v>
      </c>
      <c r="D854" s="144" t="s">
        <v>62</v>
      </c>
      <c r="E854" s="146">
        <v>0.13</v>
      </c>
    </row>
    <row r="855">
      <c r="A855" s="143">
        <v>854.0</v>
      </c>
      <c r="B855" s="144" t="s">
        <v>812</v>
      </c>
      <c r="C855" s="144" t="s">
        <v>280</v>
      </c>
      <c r="D855" s="144" t="s">
        <v>845</v>
      </c>
      <c r="E855" s="146">
        <v>0.13</v>
      </c>
    </row>
    <row r="856">
      <c r="A856" s="143">
        <v>855.0</v>
      </c>
      <c r="B856" s="144" t="s">
        <v>812</v>
      </c>
      <c r="C856" s="144" t="s">
        <v>280</v>
      </c>
      <c r="D856" s="144" t="s">
        <v>846</v>
      </c>
      <c r="E856" s="146">
        <v>0.13</v>
      </c>
    </row>
    <row r="857">
      <c r="A857" s="143">
        <v>856.0</v>
      </c>
      <c r="B857" s="144" t="s">
        <v>812</v>
      </c>
      <c r="C857" s="144" t="s">
        <v>280</v>
      </c>
      <c r="D857" s="144" t="s">
        <v>62</v>
      </c>
      <c r="E857" s="146">
        <v>0.13</v>
      </c>
    </row>
    <row r="858">
      <c r="A858" s="143">
        <v>857.0</v>
      </c>
      <c r="B858" s="144" t="s">
        <v>812</v>
      </c>
      <c r="C858" s="144" t="s">
        <v>280</v>
      </c>
      <c r="D858" s="144" t="s">
        <v>847</v>
      </c>
      <c r="E858" s="146">
        <v>0.13</v>
      </c>
    </row>
    <row r="859">
      <c r="A859" s="143">
        <v>858.0</v>
      </c>
      <c r="B859" s="144" t="s">
        <v>747</v>
      </c>
      <c r="C859" s="144" t="s">
        <v>848</v>
      </c>
      <c r="D859" s="144" t="s">
        <v>849</v>
      </c>
      <c r="E859" s="146">
        <v>0.11</v>
      </c>
    </row>
    <row r="860">
      <c r="A860" s="143">
        <v>859.0</v>
      </c>
      <c r="B860" s="144" t="s">
        <v>747</v>
      </c>
      <c r="C860" s="144" t="s">
        <v>848</v>
      </c>
      <c r="D860" s="144" t="s">
        <v>850</v>
      </c>
      <c r="E860" s="146">
        <v>0.11</v>
      </c>
    </row>
    <row r="861">
      <c r="A861" s="143">
        <v>860.0</v>
      </c>
      <c r="B861" s="144" t="s">
        <v>747</v>
      </c>
      <c r="C861" s="144" t="s">
        <v>848</v>
      </c>
      <c r="D861" s="144" t="s">
        <v>62</v>
      </c>
      <c r="E861" s="146">
        <v>0.11</v>
      </c>
    </row>
    <row r="862">
      <c r="A862" s="143">
        <v>861.0</v>
      </c>
      <c r="B862" s="144" t="s">
        <v>747</v>
      </c>
      <c r="C862" s="144" t="s">
        <v>848</v>
      </c>
      <c r="D862" s="144" t="s">
        <v>851</v>
      </c>
      <c r="E862" s="146">
        <v>0.11</v>
      </c>
    </row>
    <row r="863">
      <c r="A863" s="143">
        <v>862.0</v>
      </c>
      <c r="B863" s="144" t="s">
        <v>747</v>
      </c>
      <c r="C863" s="144" t="s">
        <v>852</v>
      </c>
      <c r="D863" s="144" t="s">
        <v>853</v>
      </c>
      <c r="E863" s="146">
        <v>0.11</v>
      </c>
    </row>
    <row r="864">
      <c r="A864" s="143">
        <v>863.0</v>
      </c>
      <c r="B864" s="144" t="s">
        <v>747</v>
      </c>
      <c r="C864" s="144" t="s">
        <v>852</v>
      </c>
      <c r="D864" s="144" t="s">
        <v>854</v>
      </c>
      <c r="E864" s="146">
        <v>0.11</v>
      </c>
    </row>
    <row r="865">
      <c r="A865" s="143">
        <v>864.0</v>
      </c>
      <c r="B865" s="144" t="s">
        <v>747</v>
      </c>
      <c r="C865" s="144" t="s">
        <v>852</v>
      </c>
      <c r="D865" s="144" t="s">
        <v>855</v>
      </c>
      <c r="E865" s="146">
        <v>0.11</v>
      </c>
    </row>
    <row r="866">
      <c r="A866" s="143">
        <v>865.0</v>
      </c>
      <c r="B866" s="144" t="s">
        <v>747</v>
      </c>
      <c r="C866" s="144" t="s">
        <v>852</v>
      </c>
      <c r="D866" s="144" t="s">
        <v>856</v>
      </c>
      <c r="E866" s="146">
        <v>0.11</v>
      </c>
    </row>
    <row r="867">
      <c r="A867" s="143">
        <v>866.0</v>
      </c>
      <c r="B867" s="144" t="s">
        <v>747</v>
      </c>
      <c r="C867" s="144" t="s">
        <v>852</v>
      </c>
      <c r="D867" s="144" t="s">
        <v>857</v>
      </c>
      <c r="E867" s="146">
        <v>0.11</v>
      </c>
    </row>
    <row r="868">
      <c r="A868" s="143">
        <v>867.0</v>
      </c>
      <c r="B868" s="144" t="s">
        <v>747</v>
      </c>
      <c r="C868" s="144" t="s">
        <v>852</v>
      </c>
      <c r="D868" s="144" t="s">
        <v>858</v>
      </c>
      <c r="E868" s="146">
        <v>0.11</v>
      </c>
    </row>
    <row r="869">
      <c r="A869" s="143">
        <v>868.0</v>
      </c>
      <c r="B869" s="144" t="s">
        <v>747</v>
      </c>
      <c r="C869" s="144" t="s">
        <v>852</v>
      </c>
      <c r="D869" s="144" t="s">
        <v>859</v>
      </c>
      <c r="E869" s="146">
        <v>0.11</v>
      </c>
    </row>
    <row r="870">
      <c r="A870" s="143">
        <v>869.0</v>
      </c>
      <c r="B870" s="144" t="s">
        <v>747</v>
      </c>
      <c r="C870" s="144" t="s">
        <v>852</v>
      </c>
      <c r="D870" s="144" t="s">
        <v>860</v>
      </c>
      <c r="E870" s="146">
        <v>0.11</v>
      </c>
    </row>
    <row r="871">
      <c r="A871" s="143">
        <v>870.0</v>
      </c>
      <c r="B871" s="144" t="s">
        <v>747</v>
      </c>
      <c r="C871" s="144" t="s">
        <v>852</v>
      </c>
      <c r="D871" s="144" t="s">
        <v>861</v>
      </c>
      <c r="E871" s="146">
        <v>0.11</v>
      </c>
    </row>
    <row r="872">
      <c r="A872" s="143">
        <v>871.0</v>
      </c>
      <c r="B872" s="144" t="s">
        <v>747</v>
      </c>
      <c r="C872" s="144" t="s">
        <v>852</v>
      </c>
      <c r="D872" s="144" t="s">
        <v>62</v>
      </c>
      <c r="E872" s="146">
        <v>0.11</v>
      </c>
    </row>
    <row r="873">
      <c r="A873" s="143">
        <v>872.0</v>
      </c>
      <c r="B873" s="144" t="s">
        <v>747</v>
      </c>
      <c r="C873" s="144" t="s">
        <v>852</v>
      </c>
      <c r="D873" s="144" t="s">
        <v>862</v>
      </c>
      <c r="E873" s="146">
        <v>0.11</v>
      </c>
    </row>
    <row r="874">
      <c r="A874" s="143">
        <v>873.0</v>
      </c>
      <c r="B874" s="144" t="s">
        <v>747</v>
      </c>
      <c r="C874" s="144" t="s">
        <v>852</v>
      </c>
      <c r="D874" s="144" t="s">
        <v>863</v>
      </c>
      <c r="E874" s="146">
        <v>0.11</v>
      </c>
    </row>
    <row r="875">
      <c r="A875" s="143">
        <v>874.0</v>
      </c>
      <c r="B875" s="144" t="s">
        <v>747</v>
      </c>
      <c r="C875" s="144" t="s">
        <v>852</v>
      </c>
      <c r="D875" s="144" t="s">
        <v>864</v>
      </c>
      <c r="E875" s="146">
        <v>0.11</v>
      </c>
    </row>
    <row r="876">
      <c r="A876" s="143">
        <v>875.0</v>
      </c>
      <c r="B876" s="144" t="s">
        <v>747</v>
      </c>
      <c r="C876" s="144" t="s">
        <v>852</v>
      </c>
      <c r="D876" s="144" t="s">
        <v>865</v>
      </c>
      <c r="E876" s="146">
        <v>0.11</v>
      </c>
    </row>
    <row r="877">
      <c r="A877" s="143">
        <v>876.0</v>
      </c>
      <c r="B877" s="144" t="s">
        <v>747</v>
      </c>
      <c r="C877" s="144" t="s">
        <v>866</v>
      </c>
      <c r="D877" s="144" t="s">
        <v>867</v>
      </c>
      <c r="E877" s="146">
        <v>0.11</v>
      </c>
    </row>
    <row r="878">
      <c r="A878" s="143">
        <v>877.0</v>
      </c>
      <c r="B878" s="144" t="s">
        <v>747</v>
      </c>
      <c r="C878" s="144" t="s">
        <v>866</v>
      </c>
      <c r="D878" s="144" t="s">
        <v>868</v>
      </c>
      <c r="E878" s="146">
        <v>0.11</v>
      </c>
    </row>
    <row r="879">
      <c r="A879" s="143">
        <v>878.0</v>
      </c>
      <c r="B879" s="144" t="s">
        <v>747</v>
      </c>
      <c r="C879" s="144" t="s">
        <v>866</v>
      </c>
      <c r="D879" s="144" t="s">
        <v>869</v>
      </c>
      <c r="E879" s="146">
        <v>0.11</v>
      </c>
    </row>
    <row r="880">
      <c r="A880" s="143">
        <v>879.0</v>
      </c>
      <c r="B880" s="144" t="s">
        <v>747</v>
      </c>
      <c r="C880" s="144" t="s">
        <v>866</v>
      </c>
      <c r="D880" s="144" t="s">
        <v>870</v>
      </c>
      <c r="E880" s="146">
        <v>0.11</v>
      </c>
    </row>
    <row r="881">
      <c r="A881" s="143">
        <v>880.0</v>
      </c>
      <c r="B881" s="144" t="s">
        <v>747</v>
      </c>
      <c r="C881" s="144" t="s">
        <v>866</v>
      </c>
      <c r="D881" s="144" t="s">
        <v>62</v>
      </c>
      <c r="E881" s="146">
        <v>0.11</v>
      </c>
    </row>
    <row r="882">
      <c r="A882" s="143">
        <v>881.0</v>
      </c>
      <c r="B882" s="144" t="s">
        <v>747</v>
      </c>
      <c r="C882" s="144" t="s">
        <v>871</v>
      </c>
      <c r="D882" s="144" t="s">
        <v>872</v>
      </c>
      <c r="E882" s="146">
        <v>0.11</v>
      </c>
    </row>
    <row r="883">
      <c r="A883" s="143">
        <v>882.0</v>
      </c>
      <c r="B883" s="144" t="s">
        <v>747</v>
      </c>
      <c r="C883" s="144" t="s">
        <v>871</v>
      </c>
      <c r="D883" s="144" t="s">
        <v>873</v>
      </c>
      <c r="E883" s="146">
        <v>0.11</v>
      </c>
    </row>
    <row r="884">
      <c r="A884" s="143">
        <v>883.0</v>
      </c>
      <c r="B884" s="144" t="s">
        <v>747</v>
      </c>
      <c r="C884" s="144" t="s">
        <v>871</v>
      </c>
      <c r="D884" s="144" t="s">
        <v>874</v>
      </c>
      <c r="E884" s="146">
        <v>0.11</v>
      </c>
    </row>
    <row r="885">
      <c r="A885" s="143">
        <v>884.0</v>
      </c>
      <c r="B885" s="144" t="s">
        <v>747</v>
      </c>
      <c r="C885" s="144" t="s">
        <v>871</v>
      </c>
      <c r="D885" s="144" t="s">
        <v>875</v>
      </c>
      <c r="E885" s="146">
        <v>0.11</v>
      </c>
    </row>
    <row r="886">
      <c r="A886" s="143">
        <v>885.0</v>
      </c>
      <c r="B886" s="144" t="s">
        <v>747</v>
      </c>
      <c r="C886" s="144" t="s">
        <v>871</v>
      </c>
      <c r="D886" s="144" t="s">
        <v>62</v>
      </c>
      <c r="E886" s="146">
        <v>0.11</v>
      </c>
    </row>
    <row r="887">
      <c r="A887" s="143">
        <v>886.0</v>
      </c>
      <c r="B887" s="144" t="s">
        <v>747</v>
      </c>
      <c r="C887" s="144" t="s">
        <v>876</v>
      </c>
      <c r="D887" s="144" t="s">
        <v>877</v>
      </c>
      <c r="E887" s="146">
        <v>0.11</v>
      </c>
    </row>
    <row r="888">
      <c r="A888" s="143">
        <v>887.0</v>
      </c>
      <c r="B888" s="144" t="s">
        <v>747</v>
      </c>
      <c r="C888" s="144" t="s">
        <v>876</v>
      </c>
      <c r="D888" s="144" t="s">
        <v>878</v>
      </c>
      <c r="E888" s="146">
        <v>0.11</v>
      </c>
    </row>
    <row r="889">
      <c r="A889" s="143">
        <v>888.0</v>
      </c>
      <c r="B889" s="144" t="s">
        <v>747</v>
      </c>
      <c r="C889" s="144" t="s">
        <v>876</v>
      </c>
      <c r="D889" s="144" t="s">
        <v>879</v>
      </c>
      <c r="E889" s="146">
        <v>0.11</v>
      </c>
    </row>
    <row r="890">
      <c r="A890" s="143">
        <v>889.0</v>
      </c>
      <c r="B890" s="144" t="s">
        <v>747</v>
      </c>
      <c r="C890" s="144" t="s">
        <v>876</v>
      </c>
      <c r="D890" s="144" t="s">
        <v>880</v>
      </c>
      <c r="E890" s="146">
        <v>0.11</v>
      </c>
    </row>
    <row r="891">
      <c r="A891" s="143">
        <v>890.0</v>
      </c>
      <c r="B891" s="144" t="s">
        <v>747</v>
      </c>
      <c r="C891" s="144" t="s">
        <v>876</v>
      </c>
      <c r="D891" s="144" t="s">
        <v>62</v>
      </c>
      <c r="E891" s="146">
        <v>0.11</v>
      </c>
    </row>
    <row r="892">
      <c r="A892" s="143">
        <v>891.0</v>
      </c>
      <c r="B892" s="144" t="s">
        <v>747</v>
      </c>
      <c r="C892" s="144" t="s">
        <v>876</v>
      </c>
      <c r="D892" s="144" t="s">
        <v>881</v>
      </c>
      <c r="E892" s="146">
        <v>0.11</v>
      </c>
    </row>
    <row r="893">
      <c r="A893" s="143">
        <v>892.0</v>
      </c>
      <c r="B893" s="144" t="s">
        <v>747</v>
      </c>
      <c r="C893" s="144" t="s">
        <v>876</v>
      </c>
      <c r="D893" s="144" t="s">
        <v>882</v>
      </c>
      <c r="E893" s="146">
        <v>0.11</v>
      </c>
    </row>
    <row r="894">
      <c r="A894" s="143">
        <v>893.0</v>
      </c>
      <c r="B894" s="144" t="s">
        <v>747</v>
      </c>
      <c r="C894" s="144" t="s">
        <v>876</v>
      </c>
      <c r="D894" s="144" t="s">
        <v>883</v>
      </c>
      <c r="E894" s="146">
        <v>0.11</v>
      </c>
    </row>
    <row r="895">
      <c r="A895" s="143">
        <v>894.0</v>
      </c>
      <c r="B895" s="144" t="s">
        <v>747</v>
      </c>
      <c r="C895" s="144" t="s">
        <v>876</v>
      </c>
      <c r="D895" s="144" t="s">
        <v>884</v>
      </c>
      <c r="E895" s="146">
        <v>0.11</v>
      </c>
    </row>
    <row r="896">
      <c r="A896" s="143">
        <v>895.0</v>
      </c>
      <c r="B896" s="144" t="s">
        <v>747</v>
      </c>
      <c r="C896" s="144" t="s">
        <v>885</v>
      </c>
      <c r="D896" s="144" t="s">
        <v>886</v>
      </c>
      <c r="E896" s="146">
        <v>0.11</v>
      </c>
    </row>
    <row r="897">
      <c r="A897" s="143">
        <v>896.0</v>
      </c>
      <c r="B897" s="144" t="s">
        <v>747</v>
      </c>
      <c r="C897" s="144" t="s">
        <v>885</v>
      </c>
      <c r="D897" s="144" t="s">
        <v>887</v>
      </c>
      <c r="E897" s="146">
        <v>0.11</v>
      </c>
    </row>
    <row r="898">
      <c r="A898" s="143">
        <v>897.0</v>
      </c>
      <c r="B898" s="144" t="s">
        <v>747</v>
      </c>
      <c r="C898" s="144" t="s">
        <v>885</v>
      </c>
      <c r="D898" s="144" t="s">
        <v>888</v>
      </c>
      <c r="E898" s="146">
        <v>0.11</v>
      </c>
    </row>
    <row r="899">
      <c r="A899" s="143">
        <v>898.0</v>
      </c>
      <c r="B899" s="144" t="s">
        <v>747</v>
      </c>
      <c r="C899" s="144" t="s">
        <v>885</v>
      </c>
      <c r="D899" s="144" t="s">
        <v>889</v>
      </c>
      <c r="E899" s="146">
        <v>0.11</v>
      </c>
    </row>
    <row r="900">
      <c r="A900" s="143">
        <v>899.0</v>
      </c>
      <c r="B900" s="144" t="s">
        <v>747</v>
      </c>
      <c r="C900" s="144" t="s">
        <v>885</v>
      </c>
      <c r="D900" s="144" t="s">
        <v>890</v>
      </c>
      <c r="E900" s="146">
        <v>0.11</v>
      </c>
    </row>
    <row r="901">
      <c r="A901" s="143">
        <v>900.0</v>
      </c>
      <c r="B901" s="144" t="s">
        <v>747</v>
      </c>
      <c r="C901" s="144" t="s">
        <v>885</v>
      </c>
      <c r="D901" s="144" t="s">
        <v>891</v>
      </c>
      <c r="E901" s="146">
        <v>0.11</v>
      </c>
    </row>
    <row r="902">
      <c r="A902" s="143">
        <v>901.0</v>
      </c>
      <c r="B902" s="144" t="s">
        <v>747</v>
      </c>
      <c r="C902" s="144" t="s">
        <v>885</v>
      </c>
      <c r="D902" s="144" t="s">
        <v>892</v>
      </c>
      <c r="E902" s="146">
        <v>0.115</v>
      </c>
    </row>
    <row r="903">
      <c r="A903" s="143">
        <v>902.0</v>
      </c>
      <c r="B903" s="144" t="s">
        <v>747</v>
      </c>
      <c r="C903" s="144" t="s">
        <v>885</v>
      </c>
      <c r="D903" s="144" t="s">
        <v>62</v>
      </c>
      <c r="E903" s="146">
        <v>0.11</v>
      </c>
    </row>
    <row r="904">
      <c r="A904" s="143">
        <v>903.0</v>
      </c>
      <c r="B904" s="144" t="s">
        <v>747</v>
      </c>
      <c r="C904" s="144" t="s">
        <v>885</v>
      </c>
      <c r="D904" s="144" t="s">
        <v>893</v>
      </c>
      <c r="E904" s="146">
        <v>0.11</v>
      </c>
    </row>
    <row r="905">
      <c r="A905" s="143">
        <v>904.0</v>
      </c>
      <c r="B905" s="144" t="s">
        <v>747</v>
      </c>
      <c r="C905" s="144" t="s">
        <v>894</v>
      </c>
      <c r="D905" s="144" t="s">
        <v>895</v>
      </c>
      <c r="E905" s="146">
        <v>0.11</v>
      </c>
    </row>
    <row r="906">
      <c r="A906" s="143">
        <v>905.0</v>
      </c>
      <c r="B906" s="144" t="s">
        <v>747</v>
      </c>
      <c r="C906" s="144" t="s">
        <v>894</v>
      </c>
      <c r="D906" s="144" t="s">
        <v>896</v>
      </c>
      <c r="E906" s="146">
        <v>0.11</v>
      </c>
    </row>
    <row r="907">
      <c r="A907" s="143">
        <v>906.0</v>
      </c>
      <c r="B907" s="144" t="s">
        <v>747</v>
      </c>
      <c r="C907" s="144" t="s">
        <v>894</v>
      </c>
      <c r="D907" s="144" t="s">
        <v>897</v>
      </c>
      <c r="E907" s="146">
        <v>0.11</v>
      </c>
    </row>
    <row r="908">
      <c r="A908" s="143">
        <v>907.0</v>
      </c>
      <c r="B908" s="144" t="s">
        <v>747</v>
      </c>
      <c r="C908" s="144" t="s">
        <v>894</v>
      </c>
      <c r="D908" s="144" t="s">
        <v>62</v>
      </c>
      <c r="E908" s="146">
        <v>0.11</v>
      </c>
    </row>
    <row r="909">
      <c r="A909" s="143">
        <v>908.0</v>
      </c>
      <c r="B909" s="144" t="s">
        <v>747</v>
      </c>
      <c r="C909" s="144" t="s">
        <v>894</v>
      </c>
      <c r="D909" s="144" t="s">
        <v>898</v>
      </c>
      <c r="E909" s="146">
        <v>0.11</v>
      </c>
    </row>
    <row r="910">
      <c r="A910" s="143">
        <v>909.0</v>
      </c>
      <c r="B910" s="144" t="s">
        <v>747</v>
      </c>
      <c r="C910" s="144" t="s">
        <v>894</v>
      </c>
      <c r="D910" s="144" t="s">
        <v>899</v>
      </c>
      <c r="E910" s="146">
        <v>0.11</v>
      </c>
    </row>
    <row r="911">
      <c r="A911" s="143">
        <v>910.0</v>
      </c>
      <c r="B911" s="144" t="s">
        <v>747</v>
      </c>
      <c r="C911" s="144" t="s">
        <v>894</v>
      </c>
      <c r="D911" s="144" t="s">
        <v>900</v>
      </c>
      <c r="E911" s="146">
        <v>0.11</v>
      </c>
    </row>
    <row r="912">
      <c r="A912" s="143">
        <v>911.0</v>
      </c>
      <c r="B912" s="144" t="s">
        <v>747</v>
      </c>
      <c r="C912" s="144" t="s">
        <v>901</v>
      </c>
      <c r="D912" s="144" t="s">
        <v>902</v>
      </c>
      <c r="E912" s="146">
        <v>0.11</v>
      </c>
    </row>
    <row r="913">
      <c r="A913" s="143">
        <v>912.0</v>
      </c>
      <c r="B913" s="144" t="s">
        <v>747</v>
      </c>
      <c r="C913" s="144" t="s">
        <v>901</v>
      </c>
      <c r="D913" s="144" t="s">
        <v>903</v>
      </c>
      <c r="E913" s="146">
        <v>0.11</v>
      </c>
    </row>
    <row r="914">
      <c r="A914" s="143">
        <v>913.0</v>
      </c>
      <c r="B914" s="144" t="s">
        <v>747</v>
      </c>
      <c r="C914" s="144" t="s">
        <v>901</v>
      </c>
      <c r="D914" s="144" t="s">
        <v>904</v>
      </c>
      <c r="E914" s="146">
        <v>0.11</v>
      </c>
    </row>
    <row r="915">
      <c r="A915" s="143">
        <v>914.0</v>
      </c>
      <c r="B915" s="144" t="s">
        <v>747</v>
      </c>
      <c r="C915" s="144" t="s">
        <v>901</v>
      </c>
      <c r="D915" s="144" t="s">
        <v>905</v>
      </c>
      <c r="E915" s="146">
        <v>0.11</v>
      </c>
    </row>
    <row r="916">
      <c r="A916" s="143">
        <v>915.0</v>
      </c>
      <c r="B916" s="144" t="s">
        <v>747</v>
      </c>
      <c r="C916" s="144" t="s">
        <v>901</v>
      </c>
      <c r="D916" s="144" t="s">
        <v>62</v>
      </c>
      <c r="E916" s="146">
        <v>0.11</v>
      </c>
    </row>
    <row r="917">
      <c r="A917" s="143">
        <v>916.0</v>
      </c>
      <c r="B917" s="144" t="s">
        <v>747</v>
      </c>
      <c r="C917" s="144" t="s">
        <v>901</v>
      </c>
      <c r="D917" s="144" t="s">
        <v>906</v>
      </c>
      <c r="E917" s="146">
        <v>0.11</v>
      </c>
    </row>
    <row r="918">
      <c r="A918" s="143">
        <v>917.0</v>
      </c>
      <c r="B918" s="144" t="s">
        <v>747</v>
      </c>
      <c r="C918" s="144" t="s">
        <v>901</v>
      </c>
      <c r="D918" s="144" t="s">
        <v>907</v>
      </c>
      <c r="E918" s="146">
        <v>0.11</v>
      </c>
    </row>
    <row r="919">
      <c r="A919" s="143">
        <v>918.0</v>
      </c>
      <c r="B919" s="144" t="s">
        <v>747</v>
      </c>
      <c r="C919" s="144" t="s">
        <v>901</v>
      </c>
      <c r="D919" s="144" t="s">
        <v>908</v>
      </c>
      <c r="E919" s="146">
        <v>0.11</v>
      </c>
    </row>
    <row r="920">
      <c r="A920" s="143">
        <v>919.0</v>
      </c>
      <c r="B920" s="144" t="s">
        <v>747</v>
      </c>
      <c r="C920" s="144" t="s">
        <v>901</v>
      </c>
      <c r="D920" s="144" t="s">
        <v>909</v>
      </c>
      <c r="E920" s="146">
        <v>0.11</v>
      </c>
    </row>
    <row r="921">
      <c r="A921" s="143">
        <v>920.0</v>
      </c>
      <c r="B921" s="144" t="s">
        <v>747</v>
      </c>
      <c r="C921" s="144" t="s">
        <v>910</v>
      </c>
      <c r="D921" s="144" t="s">
        <v>911</v>
      </c>
      <c r="E921" s="146">
        <v>0.11</v>
      </c>
    </row>
    <row r="922">
      <c r="A922" s="143">
        <v>921.0</v>
      </c>
      <c r="B922" s="144" t="s">
        <v>747</v>
      </c>
      <c r="C922" s="144" t="s">
        <v>910</v>
      </c>
      <c r="D922" s="144" t="s">
        <v>912</v>
      </c>
      <c r="E922" s="146">
        <v>0.11</v>
      </c>
    </row>
    <row r="923">
      <c r="A923" s="143">
        <v>922.0</v>
      </c>
      <c r="B923" s="144" t="s">
        <v>747</v>
      </c>
      <c r="C923" s="144" t="s">
        <v>910</v>
      </c>
      <c r="D923" s="144" t="s">
        <v>913</v>
      </c>
      <c r="E923" s="146">
        <v>0.11</v>
      </c>
    </row>
    <row r="924">
      <c r="A924" s="143">
        <v>923.0</v>
      </c>
      <c r="B924" s="144" t="s">
        <v>747</v>
      </c>
      <c r="C924" s="144" t="s">
        <v>910</v>
      </c>
      <c r="D924" s="144" t="s">
        <v>914</v>
      </c>
      <c r="E924" s="146">
        <v>0.11</v>
      </c>
    </row>
    <row r="925">
      <c r="A925" s="143">
        <v>924.0</v>
      </c>
      <c r="B925" s="144" t="s">
        <v>747</v>
      </c>
      <c r="C925" s="144" t="s">
        <v>910</v>
      </c>
      <c r="D925" s="144" t="s">
        <v>915</v>
      </c>
      <c r="E925" s="146">
        <v>0.11</v>
      </c>
    </row>
    <row r="926">
      <c r="A926" s="143">
        <v>925.0</v>
      </c>
      <c r="B926" s="144" t="s">
        <v>747</v>
      </c>
      <c r="C926" s="144" t="s">
        <v>910</v>
      </c>
      <c r="D926" s="144" t="s">
        <v>62</v>
      </c>
      <c r="E926" s="146">
        <v>0.11</v>
      </c>
    </row>
    <row r="927">
      <c r="A927" s="143">
        <v>926.0</v>
      </c>
      <c r="B927" s="144" t="s">
        <v>747</v>
      </c>
      <c r="C927" s="144" t="s">
        <v>910</v>
      </c>
      <c r="D927" s="144" t="s">
        <v>916</v>
      </c>
      <c r="E927" s="146">
        <v>0.11</v>
      </c>
    </row>
    <row r="928">
      <c r="A928" s="143">
        <v>927.0</v>
      </c>
      <c r="B928" s="144" t="s">
        <v>747</v>
      </c>
      <c r="C928" s="144" t="s">
        <v>910</v>
      </c>
      <c r="D928" s="144" t="s">
        <v>917</v>
      </c>
      <c r="E928" s="146">
        <v>0.11</v>
      </c>
    </row>
    <row r="929">
      <c r="A929" s="143">
        <v>928.0</v>
      </c>
      <c r="B929" s="144" t="s">
        <v>747</v>
      </c>
      <c r="C929" s="144" t="s">
        <v>910</v>
      </c>
      <c r="D929" s="144" t="s">
        <v>918</v>
      </c>
      <c r="E929" s="146">
        <v>0.11</v>
      </c>
    </row>
    <row r="930">
      <c r="A930" s="143">
        <v>929.0</v>
      </c>
      <c r="B930" s="144" t="s">
        <v>747</v>
      </c>
      <c r="C930" s="144" t="s">
        <v>910</v>
      </c>
      <c r="D930" s="144" t="s">
        <v>919</v>
      </c>
      <c r="E930" s="146">
        <v>0.11</v>
      </c>
    </row>
    <row r="931">
      <c r="A931" s="143">
        <v>930.0</v>
      </c>
      <c r="B931" s="144" t="s">
        <v>747</v>
      </c>
      <c r="C931" s="144" t="s">
        <v>910</v>
      </c>
      <c r="D931" s="144" t="s">
        <v>920</v>
      </c>
      <c r="E931" s="146">
        <v>0.11</v>
      </c>
    </row>
    <row r="932">
      <c r="A932" s="143">
        <v>931.0</v>
      </c>
      <c r="B932" s="144" t="s">
        <v>650</v>
      </c>
      <c r="C932" s="144" t="s">
        <v>774</v>
      </c>
      <c r="D932" s="144" t="s">
        <v>921</v>
      </c>
      <c r="E932" s="146">
        <v>0.115</v>
      </c>
    </row>
    <row r="933">
      <c r="A933" s="143">
        <v>932.0</v>
      </c>
      <c r="B933" s="144" t="s">
        <v>650</v>
      </c>
      <c r="C933" s="144" t="s">
        <v>774</v>
      </c>
      <c r="D933" s="144" t="s">
        <v>922</v>
      </c>
      <c r="E933" s="146">
        <v>0.115</v>
      </c>
    </row>
    <row r="934">
      <c r="A934" s="143">
        <v>933.0</v>
      </c>
      <c r="B934" s="144" t="s">
        <v>650</v>
      </c>
      <c r="C934" s="144" t="s">
        <v>774</v>
      </c>
      <c r="D934" s="144" t="s">
        <v>923</v>
      </c>
      <c r="E934" s="146">
        <v>0.115</v>
      </c>
    </row>
    <row r="935">
      <c r="A935" s="143">
        <v>934.0</v>
      </c>
      <c r="B935" s="144" t="s">
        <v>650</v>
      </c>
      <c r="C935" s="144" t="s">
        <v>790</v>
      </c>
      <c r="D935" s="144" t="s">
        <v>62</v>
      </c>
      <c r="E935" s="146">
        <v>0.115</v>
      </c>
    </row>
    <row r="936">
      <c r="A936" s="143">
        <v>935.0</v>
      </c>
      <c r="B936" s="144" t="s">
        <v>650</v>
      </c>
      <c r="C936" s="144" t="s">
        <v>790</v>
      </c>
      <c r="D936" s="144" t="s">
        <v>924</v>
      </c>
      <c r="E936" s="146">
        <v>0.115</v>
      </c>
    </row>
    <row r="937">
      <c r="A937" s="143">
        <v>936.0</v>
      </c>
      <c r="B937" s="144" t="s">
        <v>650</v>
      </c>
      <c r="C937" s="144" t="s">
        <v>799</v>
      </c>
      <c r="D937" s="144" t="s">
        <v>62</v>
      </c>
      <c r="E937" s="146">
        <v>0.1</v>
      </c>
    </row>
    <row r="938">
      <c r="A938" s="143">
        <v>937.0</v>
      </c>
      <c r="B938" s="144" t="s">
        <v>650</v>
      </c>
      <c r="C938" s="144" t="s">
        <v>925</v>
      </c>
      <c r="D938" s="144" t="s">
        <v>926</v>
      </c>
      <c r="E938" s="146">
        <v>0.1</v>
      </c>
    </row>
    <row r="939">
      <c r="A939" s="143">
        <v>938.0</v>
      </c>
      <c r="B939" s="144" t="s">
        <v>650</v>
      </c>
      <c r="C939" s="144" t="s">
        <v>925</v>
      </c>
      <c r="D939" s="144" t="s">
        <v>927</v>
      </c>
      <c r="E939" s="146">
        <v>0.1</v>
      </c>
    </row>
    <row r="940">
      <c r="A940" s="143">
        <v>939.0</v>
      </c>
      <c r="B940" s="144" t="s">
        <v>650</v>
      </c>
      <c r="C940" s="144" t="s">
        <v>925</v>
      </c>
      <c r="D940" s="144" t="s">
        <v>62</v>
      </c>
      <c r="E940" s="146">
        <v>0.1</v>
      </c>
    </row>
    <row r="941">
      <c r="A941" s="143">
        <v>940.0</v>
      </c>
      <c r="B941" s="144" t="s">
        <v>650</v>
      </c>
      <c r="C941" s="144" t="s">
        <v>925</v>
      </c>
      <c r="D941" s="144" t="s">
        <v>928</v>
      </c>
      <c r="E941" s="146">
        <v>0.105</v>
      </c>
    </row>
    <row r="942">
      <c r="A942" s="143">
        <v>941.0</v>
      </c>
      <c r="B942" s="144" t="s">
        <v>650</v>
      </c>
      <c r="C942" s="144" t="s">
        <v>799</v>
      </c>
      <c r="D942" s="144" t="s">
        <v>929</v>
      </c>
      <c r="E942" s="146">
        <v>0.1</v>
      </c>
    </row>
    <row r="943">
      <c r="A943" s="143">
        <v>942.0</v>
      </c>
      <c r="B943" s="144" t="s">
        <v>650</v>
      </c>
      <c r="C943" s="144" t="s">
        <v>799</v>
      </c>
      <c r="D943" s="144" t="s">
        <v>930</v>
      </c>
      <c r="E943" s="146">
        <v>0.1</v>
      </c>
    </row>
    <row r="944">
      <c r="A944" s="143">
        <v>943.0</v>
      </c>
      <c r="B944" s="144" t="s">
        <v>650</v>
      </c>
      <c r="C944" s="144" t="s">
        <v>799</v>
      </c>
      <c r="D944" s="144" t="s">
        <v>931</v>
      </c>
      <c r="E944" s="146">
        <v>0.1</v>
      </c>
    </row>
    <row r="945">
      <c r="A945" s="143">
        <v>944.0</v>
      </c>
      <c r="B945" s="144" t="s">
        <v>650</v>
      </c>
      <c r="C945" s="144" t="s">
        <v>925</v>
      </c>
      <c r="D945" s="144" t="s">
        <v>932</v>
      </c>
      <c r="E945" s="146">
        <v>0.1</v>
      </c>
    </row>
    <row r="946">
      <c r="A946" s="143">
        <v>945.0</v>
      </c>
      <c r="B946" s="144" t="s">
        <v>933</v>
      </c>
      <c r="C946" s="144" t="s">
        <v>934</v>
      </c>
      <c r="D946" s="144" t="s">
        <v>935</v>
      </c>
      <c r="E946" s="146">
        <v>0.13</v>
      </c>
    </row>
    <row r="947">
      <c r="A947" s="143">
        <v>946.0</v>
      </c>
      <c r="B947" s="144" t="s">
        <v>933</v>
      </c>
      <c r="C947" s="144" t="s">
        <v>934</v>
      </c>
      <c r="D947" s="144" t="s">
        <v>936</v>
      </c>
      <c r="E947" s="146">
        <v>0.13</v>
      </c>
    </row>
    <row r="948">
      <c r="A948" s="143">
        <v>947.0</v>
      </c>
      <c r="B948" s="144" t="s">
        <v>933</v>
      </c>
      <c r="C948" s="144" t="s">
        <v>934</v>
      </c>
      <c r="D948" s="144" t="s">
        <v>937</v>
      </c>
      <c r="E948" s="146">
        <v>0.13</v>
      </c>
    </row>
    <row r="949">
      <c r="A949" s="143">
        <v>948.0</v>
      </c>
      <c r="B949" s="144" t="s">
        <v>933</v>
      </c>
      <c r="C949" s="144" t="s">
        <v>934</v>
      </c>
      <c r="D949" s="144" t="s">
        <v>938</v>
      </c>
      <c r="E949" s="146">
        <v>0.13</v>
      </c>
    </row>
    <row r="950">
      <c r="A950" s="143">
        <v>949.0</v>
      </c>
      <c r="B950" s="144" t="s">
        <v>933</v>
      </c>
      <c r="C950" s="144" t="s">
        <v>934</v>
      </c>
      <c r="D950" s="144" t="s">
        <v>939</v>
      </c>
      <c r="E950" s="146">
        <v>0.13</v>
      </c>
    </row>
    <row r="951">
      <c r="A951" s="143">
        <v>950.0</v>
      </c>
      <c r="B951" s="144" t="s">
        <v>933</v>
      </c>
      <c r="C951" s="144" t="s">
        <v>934</v>
      </c>
      <c r="D951" s="144" t="s">
        <v>940</v>
      </c>
      <c r="E951" s="146">
        <v>0.13</v>
      </c>
    </row>
    <row r="952">
      <c r="A952" s="143">
        <v>951.0</v>
      </c>
      <c r="B952" s="144" t="s">
        <v>933</v>
      </c>
      <c r="C952" s="144" t="s">
        <v>934</v>
      </c>
      <c r="D952" s="144" t="s">
        <v>941</v>
      </c>
      <c r="E952" s="146">
        <v>0.13</v>
      </c>
    </row>
    <row r="953">
      <c r="A953" s="143">
        <v>952.0</v>
      </c>
      <c r="B953" s="144" t="s">
        <v>933</v>
      </c>
      <c r="C953" s="144" t="s">
        <v>934</v>
      </c>
      <c r="D953" s="144" t="s">
        <v>942</v>
      </c>
      <c r="E953" s="146">
        <v>0.13</v>
      </c>
    </row>
    <row r="954">
      <c r="A954" s="143">
        <v>953.0</v>
      </c>
      <c r="B954" s="144" t="s">
        <v>933</v>
      </c>
      <c r="C954" s="144" t="s">
        <v>934</v>
      </c>
      <c r="D954" s="144" t="s">
        <v>62</v>
      </c>
      <c r="E954" s="146">
        <v>0.13</v>
      </c>
    </row>
    <row r="955">
      <c r="A955" s="143">
        <v>954.0</v>
      </c>
      <c r="B955" s="144" t="s">
        <v>933</v>
      </c>
      <c r="C955" s="144" t="s">
        <v>934</v>
      </c>
      <c r="D955" s="144" t="s">
        <v>943</v>
      </c>
      <c r="E955" s="146">
        <v>0.13</v>
      </c>
    </row>
    <row r="956">
      <c r="A956" s="143">
        <v>955.0</v>
      </c>
      <c r="B956" s="144" t="s">
        <v>933</v>
      </c>
      <c r="C956" s="144" t="s">
        <v>934</v>
      </c>
      <c r="D956" s="144" t="s">
        <v>944</v>
      </c>
      <c r="E956" s="146">
        <v>0.13</v>
      </c>
    </row>
    <row r="957">
      <c r="A957" s="143">
        <v>956.0</v>
      </c>
      <c r="B957" s="144" t="s">
        <v>933</v>
      </c>
      <c r="C957" s="144" t="s">
        <v>945</v>
      </c>
      <c r="D957" s="144" t="s">
        <v>946</v>
      </c>
      <c r="E957" s="146">
        <v>0.13</v>
      </c>
    </row>
    <row r="958">
      <c r="A958" s="143">
        <v>957.0</v>
      </c>
      <c r="B958" s="144" t="s">
        <v>933</v>
      </c>
      <c r="C958" s="144" t="s">
        <v>945</v>
      </c>
      <c r="D958" s="144" t="s">
        <v>947</v>
      </c>
      <c r="E958" s="146">
        <v>0.13</v>
      </c>
    </row>
    <row r="959">
      <c r="A959" s="143">
        <v>958.0</v>
      </c>
      <c r="B959" s="144" t="s">
        <v>933</v>
      </c>
      <c r="C959" s="144" t="s">
        <v>945</v>
      </c>
      <c r="D959" s="144" t="s">
        <v>948</v>
      </c>
      <c r="E959" s="146">
        <v>0.13</v>
      </c>
    </row>
    <row r="960">
      <c r="A960" s="143">
        <v>959.0</v>
      </c>
      <c r="B960" s="144" t="s">
        <v>933</v>
      </c>
      <c r="C960" s="144" t="s">
        <v>945</v>
      </c>
      <c r="D960" s="144" t="s">
        <v>949</v>
      </c>
      <c r="E960" s="146">
        <v>0.13</v>
      </c>
    </row>
    <row r="961">
      <c r="A961" s="143">
        <v>960.0</v>
      </c>
      <c r="B961" s="144" t="s">
        <v>933</v>
      </c>
      <c r="C961" s="144" t="s">
        <v>945</v>
      </c>
      <c r="D961" s="144" t="s">
        <v>950</v>
      </c>
      <c r="E961" s="146">
        <v>0.13</v>
      </c>
    </row>
    <row r="962">
      <c r="A962" s="143">
        <v>961.0</v>
      </c>
      <c r="B962" s="144" t="s">
        <v>933</v>
      </c>
      <c r="C962" s="144" t="s">
        <v>945</v>
      </c>
      <c r="D962" s="144" t="s">
        <v>951</v>
      </c>
      <c r="E962" s="146">
        <v>0.13</v>
      </c>
    </row>
    <row r="963">
      <c r="A963" s="143">
        <v>962.0</v>
      </c>
      <c r="B963" s="144" t="s">
        <v>933</v>
      </c>
      <c r="C963" s="144" t="s">
        <v>945</v>
      </c>
      <c r="D963" s="144" t="s">
        <v>952</v>
      </c>
      <c r="E963" s="146">
        <v>0.13</v>
      </c>
    </row>
    <row r="964">
      <c r="A964" s="143">
        <v>963.0</v>
      </c>
      <c r="B964" s="144" t="s">
        <v>933</v>
      </c>
      <c r="C964" s="144" t="s">
        <v>945</v>
      </c>
      <c r="D964" s="144" t="s">
        <v>953</v>
      </c>
      <c r="E964" s="146">
        <v>0.13</v>
      </c>
    </row>
    <row r="965">
      <c r="A965" s="143">
        <v>964.0</v>
      </c>
      <c r="B965" s="144" t="s">
        <v>933</v>
      </c>
      <c r="C965" s="144" t="s">
        <v>945</v>
      </c>
      <c r="D965" s="144" t="s">
        <v>62</v>
      </c>
      <c r="E965" s="146">
        <v>0.13</v>
      </c>
    </row>
    <row r="966">
      <c r="A966" s="143">
        <v>965.0</v>
      </c>
      <c r="B966" s="144" t="s">
        <v>933</v>
      </c>
      <c r="C966" s="144" t="s">
        <v>945</v>
      </c>
      <c r="D966" s="144" t="s">
        <v>954</v>
      </c>
      <c r="E966" s="146">
        <v>0.13</v>
      </c>
    </row>
    <row r="967">
      <c r="A967" s="143">
        <v>966.0</v>
      </c>
      <c r="B967" s="144" t="s">
        <v>933</v>
      </c>
      <c r="C967" s="144" t="s">
        <v>945</v>
      </c>
      <c r="D967" s="144" t="s">
        <v>955</v>
      </c>
      <c r="E967" s="146">
        <v>0.13</v>
      </c>
    </row>
    <row r="968">
      <c r="A968" s="143">
        <v>967.0</v>
      </c>
      <c r="B968" s="144" t="s">
        <v>933</v>
      </c>
      <c r="C968" s="144" t="s">
        <v>945</v>
      </c>
      <c r="D968" s="144" t="s">
        <v>956</v>
      </c>
      <c r="E968" s="146">
        <v>0.13</v>
      </c>
    </row>
    <row r="969">
      <c r="A969" s="143">
        <v>968.0</v>
      </c>
      <c r="B969" s="144" t="s">
        <v>933</v>
      </c>
      <c r="C969" s="144" t="s">
        <v>945</v>
      </c>
      <c r="D969" s="144" t="s">
        <v>957</v>
      </c>
      <c r="E969" s="146">
        <v>0.13</v>
      </c>
    </row>
    <row r="970">
      <c r="A970" s="143">
        <v>969.0</v>
      </c>
      <c r="B970" s="144" t="s">
        <v>933</v>
      </c>
      <c r="C970" s="144" t="s">
        <v>945</v>
      </c>
      <c r="D970" s="144" t="s">
        <v>958</v>
      </c>
      <c r="E970" s="146">
        <v>0.13</v>
      </c>
    </row>
    <row r="971">
      <c r="A971" s="143">
        <v>970.0</v>
      </c>
      <c r="B971" s="144" t="s">
        <v>933</v>
      </c>
      <c r="C971" s="144" t="s">
        <v>945</v>
      </c>
      <c r="D971" s="144" t="s">
        <v>959</v>
      </c>
      <c r="E971" s="146">
        <v>0.13</v>
      </c>
    </row>
    <row r="972">
      <c r="A972" s="143">
        <v>971.0</v>
      </c>
      <c r="B972" s="144" t="s">
        <v>933</v>
      </c>
      <c r="C972" s="144" t="s">
        <v>945</v>
      </c>
      <c r="D972" s="144" t="s">
        <v>960</v>
      </c>
      <c r="E972" s="146">
        <v>0.13</v>
      </c>
    </row>
    <row r="973">
      <c r="A973" s="143">
        <v>972.0</v>
      </c>
      <c r="B973" s="144" t="s">
        <v>933</v>
      </c>
      <c r="C973" s="144" t="s">
        <v>945</v>
      </c>
      <c r="D973" s="144" t="s">
        <v>961</v>
      </c>
      <c r="E973" s="146">
        <v>0.13</v>
      </c>
    </row>
    <row r="974">
      <c r="A974" s="143">
        <v>973.0</v>
      </c>
      <c r="B974" s="144" t="s">
        <v>933</v>
      </c>
      <c r="C974" s="144" t="s">
        <v>962</v>
      </c>
      <c r="D974" s="144" t="s">
        <v>963</v>
      </c>
      <c r="E974" s="146">
        <v>0.13</v>
      </c>
    </row>
    <row r="975">
      <c r="A975" s="143">
        <v>974.0</v>
      </c>
      <c r="B975" s="144" t="s">
        <v>933</v>
      </c>
      <c r="C975" s="144" t="s">
        <v>962</v>
      </c>
      <c r="D975" s="144" t="s">
        <v>964</v>
      </c>
      <c r="E975" s="146">
        <v>0.13</v>
      </c>
    </row>
    <row r="976">
      <c r="A976" s="143">
        <v>975.0</v>
      </c>
      <c r="B976" s="144" t="s">
        <v>933</v>
      </c>
      <c r="C976" s="144" t="s">
        <v>962</v>
      </c>
      <c r="D976" s="144" t="s">
        <v>965</v>
      </c>
      <c r="E976" s="146">
        <v>0.13</v>
      </c>
    </row>
    <row r="977">
      <c r="A977" s="143">
        <v>976.0</v>
      </c>
      <c r="B977" s="144" t="s">
        <v>933</v>
      </c>
      <c r="C977" s="144" t="s">
        <v>962</v>
      </c>
      <c r="D977" s="144" t="s">
        <v>966</v>
      </c>
      <c r="E977" s="146">
        <v>0.13</v>
      </c>
    </row>
    <row r="978">
      <c r="A978" s="143">
        <v>977.0</v>
      </c>
      <c r="B978" s="144" t="s">
        <v>933</v>
      </c>
      <c r="C978" s="144" t="s">
        <v>962</v>
      </c>
      <c r="D978" s="144" t="s">
        <v>967</v>
      </c>
      <c r="E978" s="146">
        <v>0.13</v>
      </c>
    </row>
    <row r="979">
      <c r="A979" s="143">
        <v>978.0</v>
      </c>
      <c r="B979" s="144" t="s">
        <v>933</v>
      </c>
      <c r="C979" s="144" t="s">
        <v>962</v>
      </c>
      <c r="D979" s="144" t="s">
        <v>968</v>
      </c>
      <c r="E979" s="146">
        <v>0.13</v>
      </c>
    </row>
    <row r="980">
      <c r="A980" s="143">
        <v>979.0</v>
      </c>
      <c r="B980" s="144" t="s">
        <v>933</v>
      </c>
      <c r="C980" s="144" t="s">
        <v>962</v>
      </c>
      <c r="D980" s="144" t="s">
        <v>969</v>
      </c>
      <c r="E980" s="146">
        <v>0.13</v>
      </c>
    </row>
    <row r="981">
      <c r="A981" s="143">
        <v>980.0</v>
      </c>
      <c r="B981" s="144" t="s">
        <v>933</v>
      </c>
      <c r="C981" s="144" t="s">
        <v>962</v>
      </c>
      <c r="D981" s="144" t="s">
        <v>970</v>
      </c>
      <c r="E981" s="146">
        <v>0.13</v>
      </c>
    </row>
    <row r="982">
      <c r="A982" s="143">
        <v>981.0</v>
      </c>
      <c r="B982" s="144" t="s">
        <v>933</v>
      </c>
      <c r="C982" s="144" t="s">
        <v>962</v>
      </c>
      <c r="D982" s="144" t="s">
        <v>971</v>
      </c>
      <c r="E982" s="146">
        <v>0.13</v>
      </c>
    </row>
    <row r="983">
      <c r="A983" s="143">
        <v>982.0</v>
      </c>
      <c r="B983" s="144" t="s">
        <v>933</v>
      </c>
      <c r="C983" s="144" t="s">
        <v>962</v>
      </c>
      <c r="D983" s="144" t="s">
        <v>62</v>
      </c>
      <c r="E983" s="146">
        <v>0.13</v>
      </c>
    </row>
    <row r="984">
      <c r="A984" s="143">
        <v>983.0</v>
      </c>
      <c r="B984" s="144" t="s">
        <v>933</v>
      </c>
      <c r="C984" s="144" t="s">
        <v>962</v>
      </c>
      <c r="D984" s="144" t="s">
        <v>972</v>
      </c>
      <c r="E984" s="146">
        <v>0.13</v>
      </c>
    </row>
    <row r="985">
      <c r="A985" s="143">
        <v>984.0</v>
      </c>
      <c r="B985" s="144" t="s">
        <v>933</v>
      </c>
      <c r="C985" s="144" t="s">
        <v>962</v>
      </c>
      <c r="D985" s="144" t="s">
        <v>973</v>
      </c>
      <c r="E985" s="146">
        <v>0.13</v>
      </c>
    </row>
    <row r="986">
      <c r="A986" s="143">
        <v>985.0</v>
      </c>
      <c r="B986" s="144" t="s">
        <v>933</v>
      </c>
      <c r="C986" s="144" t="s">
        <v>962</v>
      </c>
      <c r="D986" s="144" t="s">
        <v>974</v>
      </c>
      <c r="E986" s="146">
        <v>0.13</v>
      </c>
    </row>
    <row r="987">
      <c r="A987" s="143">
        <v>986.0</v>
      </c>
      <c r="B987" s="144" t="s">
        <v>933</v>
      </c>
      <c r="C987" s="144" t="s">
        <v>962</v>
      </c>
      <c r="D987" s="144" t="s">
        <v>975</v>
      </c>
      <c r="E987" s="146">
        <v>0.13</v>
      </c>
    </row>
    <row r="988">
      <c r="A988" s="143">
        <v>987.0</v>
      </c>
      <c r="B988" s="144" t="s">
        <v>933</v>
      </c>
      <c r="C988" s="144" t="s">
        <v>962</v>
      </c>
      <c r="D988" s="144" t="s">
        <v>976</v>
      </c>
      <c r="E988" s="146">
        <v>0.13</v>
      </c>
    </row>
    <row r="989">
      <c r="A989" s="143">
        <v>988.0</v>
      </c>
      <c r="B989" s="144" t="s">
        <v>933</v>
      </c>
      <c r="C989" s="144" t="s">
        <v>977</v>
      </c>
      <c r="D989" s="144" t="s">
        <v>978</v>
      </c>
      <c r="E989" s="146">
        <v>0.13</v>
      </c>
    </row>
    <row r="990">
      <c r="A990" s="143">
        <v>989.0</v>
      </c>
      <c r="B990" s="144" t="s">
        <v>933</v>
      </c>
      <c r="C990" s="144" t="s">
        <v>977</v>
      </c>
      <c r="D990" s="144" t="s">
        <v>979</v>
      </c>
      <c r="E990" s="146">
        <v>0.13</v>
      </c>
    </row>
    <row r="991">
      <c r="A991" s="143">
        <v>990.0</v>
      </c>
      <c r="B991" s="144" t="s">
        <v>933</v>
      </c>
      <c r="C991" s="144" t="s">
        <v>977</v>
      </c>
      <c r="D991" s="144" t="s">
        <v>62</v>
      </c>
      <c r="E991" s="146">
        <v>0.13</v>
      </c>
    </row>
    <row r="992">
      <c r="A992" s="143">
        <v>991.0</v>
      </c>
      <c r="B992" s="144" t="s">
        <v>933</v>
      </c>
      <c r="C992" s="144" t="s">
        <v>977</v>
      </c>
      <c r="D992" s="144" t="s">
        <v>980</v>
      </c>
      <c r="E992" s="146">
        <v>0.13</v>
      </c>
    </row>
    <row r="993">
      <c r="A993" s="143">
        <v>992.0</v>
      </c>
      <c r="B993" s="144" t="s">
        <v>933</v>
      </c>
      <c r="C993" s="144" t="s">
        <v>977</v>
      </c>
      <c r="D993" s="144" t="s">
        <v>981</v>
      </c>
      <c r="E993" s="146">
        <v>0.13</v>
      </c>
    </row>
    <row r="994">
      <c r="A994" s="143">
        <v>993.0</v>
      </c>
      <c r="B994" s="144" t="s">
        <v>933</v>
      </c>
      <c r="C994" s="144" t="s">
        <v>977</v>
      </c>
      <c r="D994" s="144" t="s">
        <v>982</v>
      </c>
      <c r="E994" s="146">
        <v>0.13</v>
      </c>
    </row>
    <row r="995">
      <c r="A995" s="143">
        <v>994.0</v>
      </c>
      <c r="B995" s="144" t="s">
        <v>933</v>
      </c>
      <c r="C995" s="144" t="s">
        <v>983</v>
      </c>
      <c r="D995" s="147"/>
      <c r="E995" s="146">
        <v>0.13</v>
      </c>
    </row>
    <row r="996">
      <c r="A996" s="143">
        <v>995.0</v>
      </c>
      <c r="B996" s="144" t="s">
        <v>933</v>
      </c>
      <c r="C996" s="144" t="s">
        <v>984</v>
      </c>
      <c r="D996" s="144" t="s">
        <v>985</v>
      </c>
      <c r="E996" s="146">
        <v>0.13</v>
      </c>
    </row>
    <row r="997">
      <c r="A997" s="143">
        <v>996.0</v>
      </c>
      <c r="B997" s="144" t="s">
        <v>933</v>
      </c>
      <c r="C997" s="144" t="s">
        <v>984</v>
      </c>
      <c r="D997" s="144" t="s">
        <v>986</v>
      </c>
      <c r="E997" s="146">
        <v>0.13</v>
      </c>
    </row>
    <row r="998">
      <c r="A998" s="143">
        <v>997.0</v>
      </c>
      <c r="B998" s="144" t="s">
        <v>933</v>
      </c>
      <c r="C998" s="144" t="s">
        <v>984</v>
      </c>
      <c r="D998" s="144" t="s">
        <v>987</v>
      </c>
      <c r="E998" s="146">
        <v>0.13</v>
      </c>
    </row>
    <row r="999">
      <c r="A999" s="143">
        <v>998.0</v>
      </c>
      <c r="B999" s="144" t="s">
        <v>933</v>
      </c>
      <c r="C999" s="144" t="s">
        <v>984</v>
      </c>
      <c r="D999" s="144" t="s">
        <v>988</v>
      </c>
      <c r="E999" s="146">
        <v>0.13</v>
      </c>
    </row>
    <row r="1000">
      <c r="A1000" s="143">
        <v>999.0</v>
      </c>
      <c r="B1000" s="144" t="s">
        <v>933</v>
      </c>
      <c r="C1000" s="144" t="s">
        <v>984</v>
      </c>
      <c r="D1000" s="144" t="s">
        <v>989</v>
      </c>
      <c r="E1000" s="146">
        <v>0.13</v>
      </c>
    </row>
    <row r="1001">
      <c r="A1001" s="143">
        <v>1000.0</v>
      </c>
      <c r="B1001" s="144" t="s">
        <v>933</v>
      </c>
      <c r="C1001" s="144" t="s">
        <v>984</v>
      </c>
      <c r="D1001" s="144" t="s">
        <v>62</v>
      </c>
      <c r="E1001" s="146">
        <v>0.13</v>
      </c>
    </row>
    <row r="1002">
      <c r="A1002" s="143">
        <v>1001.0</v>
      </c>
      <c r="B1002" s="144" t="s">
        <v>933</v>
      </c>
      <c r="C1002" s="144" t="s">
        <v>990</v>
      </c>
      <c r="D1002" s="144" t="s">
        <v>62</v>
      </c>
      <c r="E1002" s="146">
        <v>0.13</v>
      </c>
    </row>
    <row r="1003">
      <c r="A1003" s="143">
        <v>1002.0</v>
      </c>
      <c r="B1003" s="144" t="s">
        <v>933</v>
      </c>
      <c r="C1003" s="144" t="s">
        <v>990</v>
      </c>
      <c r="D1003" s="144" t="s">
        <v>991</v>
      </c>
      <c r="E1003" s="146">
        <v>0.13</v>
      </c>
    </row>
    <row r="1004">
      <c r="A1004" s="143">
        <v>1003.0</v>
      </c>
      <c r="B1004" s="144" t="s">
        <v>933</v>
      </c>
      <c r="C1004" s="144" t="s">
        <v>990</v>
      </c>
      <c r="D1004" s="144" t="s">
        <v>992</v>
      </c>
      <c r="E1004" s="146">
        <v>0.13</v>
      </c>
    </row>
    <row r="1005">
      <c r="A1005" s="143">
        <v>1004.0</v>
      </c>
      <c r="B1005" s="144" t="s">
        <v>933</v>
      </c>
      <c r="C1005" s="144" t="s">
        <v>993</v>
      </c>
      <c r="D1005" s="147"/>
      <c r="E1005" s="146">
        <v>0.13</v>
      </c>
    </row>
    <row r="1006">
      <c r="A1006" s="143">
        <v>1005.0</v>
      </c>
      <c r="B1006" s="144" t="s">
        <v>933</v>
      </c>
      <c r="C1006" s="144" t="s">
        <v>933</v>
      </c>
      <c r="D1006" s="147"/>
      <c r="E1006" s="146">
        <v>0.015</v>
      </c>
    </row>
    <row r="1007">
      <c r="A1007" s="143">
        <v>1006.0</v>
      </c>
      <c r="B1007" s="144" t="s">
        <v>933</v>
      </c>
      <c r="C1007" s="144" t="s">
        <v>62</v>
      </c>
      <c r="D1007" s="147"/>
      <c r="E1007" s="146">
        <v>0.13</v>
      </c>
    </row>
    <row r="1008">
      <c r="A1008" s="143">
        <v>1007.0</v>
      </c>
      <c r="B1008" s="144" t="s">
        <v>994</v>
      </c>
      <c r="C1008" s="144" t="s">
        <v>995</v>
      </c>
      <c r="D1008" s="144" t="s">
        <v>996</v>
      </c>
      <c r="E1008" s="146">
        <v>0.12</v>
      </c>
    </row>
    <row r="1009">
      <c r="A1009" s="143">
        <v>1008.0</v>
      </c>
      <c r="B1009" s="144" t="s">
        <v>994</v>
      </c>
      <c r="C1009" s="144" t="s">
        <v>995</v>
      </c>
      <c r="D1009" s="144" t="s">
        <v>997</v>
      </c>
      <c r="E1009" s="146">
        <v>0.12</v>
      </c>
    </row>
    <row r="1010">
      <c r="A1010" s="143">
        <v>1009.0</v>
      </c>
      <c r="B1010" s="144" t="s">
        <v>994</v>
      </c>
      <c r="C1010" s="144" t="s">
        <v>995</v>
      </c>
      <c r="D1010" s="144" t="s">
        <v>998</v>
      </c>
      <c r="E1010" s="146">
        <v>0.12</v>
      </c>
    </row>
    <row r="1011">
      <c r="A1011" s="143">
        <v>1010.0</v>
      </c>
      <c r="B1011" s="144" t="s">
        <v>994</v>
      </c>
      <c r="C1011" s="144" t="s">
        <v>995</v>
      </c>
      <c r="D1011" s="144" t="s">
        <v>999</v>
      </c>
      <c r="E1011" s="146">
        <v>0.12</v>
      </c>
    </row>
    <row r="1012">
      <c r="A1012" s="143">
        <v>1011.0</v>
      </c>
      <c r="B1012" s="144" t="s">
        <v>994</v>
      </c>
      <c r="C1012" s="144" t="s">
        <v>995</v>
      </c>
      <c r="D1012" s="144" t="s">
        <v>1000</v>
      </c>
      <c r="E1012" s="146">
        <v>0.12</v>
      </c>
    </row>
    <row r="1013">
      <c r="A1013" s="143">
        <v>1012.0</v>
      </c>
      <c r="B1013" s="144" t="s">
        <v>994</v>
      </c>
      <c r="C1013" s="144" t="s">
        <v>995</v>
      </c>
      <c r="D1013" s="144" t="s">
        <v>1001</v>
      </c>
      <c r="E1013" s="146">
        <v>0.12</v>
      </c>
    </row>
    <row r="1014">
      <c r="A1014" s="143">
        <v>1013.0</v>
      </c>
      <c r="B1014" s="144" t="s">
        <v>994</v>
      </c>
      <c r="C1014" s="144" t="s">
        <v>995</v>
      </c>
      <c r="D1014" s="144" t="s">
        <v>1002</v>
      </c>
      <c r="E1014" s="146">
        <v>0.12</v>
      </c>
    </row>
    <row r="1015">
      <c r="A1015" s="143">
        <v>1014.0</v>
      </c>
      <c r="B1015" s="144" t="s">
        <v>994</v>
      </c>
      <c r="C1015" s="144" t="s">
        <v>995</v>
      </c>
      <c r="D1015" s="144" t="s">
        <v>1003</v>
      </c>
      <c r="E1015" s="146">
        <v>0.12</v>
      </c>
    </row>
    <row r="1016">
      <c r="A1016" s="143">
        <v>1015.0</v>
      </c>
      <c r="B1016" s="144" t="s">
        <v>994</v>
      </c>
      <c r="C1016" s="144" t="s">
        <v>995</v>
      </c>
      <c r="D1016" s="144" t="s">
        <v>1004</v>
      </c>
      <c r="E1016" s="146">
        <v>0.12</v>
      </c>
    </row>
    <row r="1017">
      <c r="A1017" s="143">
        <v>1016.0</v>
      </c>
      <c r="B1017" s="144" t="s">
        <v>994</v>
      </c>
      <c r="C1017" s="144" t="s">
        <v>995</v>
      </c>
      <c r="D1017" s="144" t="s">
        <v>1005</v>
      </c>
      <c r="E1017" s="146">
        <v>0.12</v>
      </c>
    </row>
    <row r="1018">
      <c r="A1018" s="143">
        <v>1017.0</v>
      </c>
      <c r="B1018" s="144" t="s">
        <v>994</v>
      </c>
      <c r="C1018" s="144" t="s">
        <v>995</v>
      </c>
      <c r="D1018" s="144" t="s">
        <v>1006</v>
      </c>
      <c r="E1018" s="146">
        <v>0.12</v>
      </c>
    </row>
    <row r="1019">
      <c r="A1019" s="143">
        <v>1018.0</v>
      </c>
      <c r="B1019" s="144" t="s">
        <v>994</v>
      </c>
      <c r="C1019" s="144" t="s">
        <v>995</v>
      </c>
      <c r="D1019" s="144" t="s">
        <v>1007</v>
      </c>
      <c r="E1019" s="146">
        <v>0.12</v>
      </c>
    </row>
    <row r="1020">
      <c r="A1020" s="143">
        <v>1019.0</v>
      </c>
      <c r="B1020" s="144" t="s">
        <v>994</v>
      </c>
      <c r="C1020" s="144" t="s">
        <v>995</v>
      </c>
      <c r="D1020" s="144" t="s">
        <v>1008</v>
      </c>
      <c r="E1020" s="146">
        <v>0.12</v>
      </c>
    </row>
    <row r="1021">
      <c r="A1021" s="143">
        <v>1020.0</v>
      </c>
      <c r="B1021" s="144" t="s">
        <v>994</v>
      </c>
      <c r="C1021" s="144" t="s">
        <v>995</v>
      </c>
      <c r="D1021" s="144" t="s">
        <v>1009</v>
      </c>
      <c r="E1021" s="146">
        <v>0.12</v>
      </c>
    </row>
    <row r="1022">
      <c r="A1022" s="143">
        <v>1021.0</v>
      </c>
      <c r="B1022" s="144" t="s">
        <v>994</v>
      </c>
      <c r="C1022" s="144" t="s">
        <v>995</v>
      </c>
      <c r="D1022" s="144" t="s">
        <v>1010</v>
      </c>
      <c r="E1022" s="146">
        <v>0.12</v>
      </c>
    </row>
    <row r="1023">
      <c r="A1023" s="143">
        <v>1022.0</v>
      </c>
      <c r="B1023" s="144" t="s">
        <v>994</v>
      </c>
      <c r="C1023" s="144" t="s">
        <v>995</v>
      </c>
      <c r="D1023" s="144" t="s">
        <v>1011</v>
      </c>
      <c r="E1023" s="146">
        <v>0.12</v>
      </c>
    </row>
    <row r="1024">
      <c r="A1024" s="143">
        <v>1023.0</v>
      </c>
      <c r="B1024" s="144" t="s">
        <v>994</v>
      </c>
      <c r="C1024" s="144" t="s">
        <v>995</v>
      </c>
      <c r="D1024" s="144" t="s">
        <v>1012</v>
      </c>
      <c r="E1024" s="146">
        <v>0.12</v>
      </c>
    </row>
    <row r="1025">
      <c r="A1025" s="143">
        <v>1024.0</v>
      </c>
      <c r="B1025" s="144" t="s">
        <v>994</v>
      </c>
      <c r="C1025" s="144" t="s">
        <v>995</v>
      </c>
      <c r="D1025" s="144" t="s">
        <v>1013</v>
      </c>
      <c r="E1025" s="146">
        <v>0.12</v>
      </c>
    </row>
    <row r="1026">
      <c r="A1026" s="143">
        <v>1025.0</v>
      </c>
      <c r="B1026" s="144" t="s">
        <v>994</v>
      </c>
      <c r="C1026" s="144" t="s">
        <v>995</v>
      </c>
      <c r="D1026" s="144" t="s">
        <v>1014</v>
      </c>
      <c r="E1026" s="146">
        <v>0.12</v>
      </c>
    </row>
    <row r="1027">
      <c r="A1027" s="143">
        <v>1026.0</v>
      </c>
      <c r="B1027" s="144" t="s">
        <v>994</v>
      </c>
      <c r="C1027" s="144" t="s">
        <v>995</v>
      </c>
      <c r="D1027" s="144" t="s">
        <v>1015</v>
      </c>
      <c r="E1027" s="146">
        <v>0.12</v>
      </c>
    </row>
    <row r="1028">
      <c r="A1028" s="143">
        <v>1027.0</v>
      </c>
      <c r="B1028" s="144" t="s">
        <v>994</v>
      </c>
      <c r="C1028" s="144" t="s">
        <v>995</v>
      </c>
      <c r="D1028" s="144" t="s">
        <v>1016</v>
      </c>
      <c r="E1028" s="146">
        <v>0.12</v>
      </c>
    </row>
    <row r="1029">
      <c r="A1029" s="143">
        <v>1028.0</v>
      </c>
      <c r="B1029" s="144" t="s">
        <v>994</v>
      </c>
      <c r="C1029" s="144" t="s">
        <v>995</v>
      </c>
      <c r="D1029" s="144" t="s">
        <v>1017</v>
      </c>
      <c r="E1029" s="146">
        <v>0.12</v>
      </c>
    </row>
    <row r="1030">
      <c r="A1030" s="143">
        <v>1029.0</v>
      </c>
      <c r="B1030" s="144" t="s">
        <v>994</v>
      </c>
      <c r="C1030" s="144" t="s">
        <v>995</v>
      </c>
      <c r="D1030" s="144" t="s">
        <v>1018</v>
      </c>
      <c r="E1030" s="146">
        <v>0.12</v>
      </c>
    </row>
    <row r="1031">
      <c r="A1031" s="143">
        <v>1030.0</v>
      </c>
      <c r="B1031" s="144" t="s">
        <v>994</v>
      </c>
      <c r="C1031" s="144" t="s">
        <v>995</v>
      </c>
      <c r="D1031" s="144" t="s">
        <v>1019</v>
      </c>
      <c r="E1031" s="146">
        <v>0.12</v>
      </c>
    </row>
    <row r="1032">
      <c r="A1032" s="143">
        <v>1031.0</v>
      </c>
      <c r="B1032" s="144" t="s">
        <v>994</v>
      </c>
      <c r="C1032" s="144" t="s">
        <v>995</v>
      </c>
      <c r="D1032" s="144" t="s">
        <v>62</v>
      </c>
      <c r="E1032" s="146">
        <v>0.12</v>
      </c>
    </row>
    <row r="1033">
      <c r="A1033" s="143">
        <v>1032.0</v>
      </c>
      <c r="B1033" s="144" t="s">
        <v>994</v>
      </c>
      <c r="C1033" s="144" t="s">
        <v>995</v>
      </c>
      <c r="D1033" s="144" t="s">
        <v>1020</v>
      </c>
      <c r="E1033" s="146">
        <v>0.12</v>
      </c>
    </row>
    <row r="1034">
      <c r="A1034" s="143">
        <v>1033.0</v>
      </c>
      <c r="B1034" s="144" t="s">
        <v>994</v>
      </c>
      <c r="C1034" s="144" t="s">
        <v>995</v>
      </c>
      <c r="D1034" s="144" t="s">
        <v>1021</v>
      </c>
      <c r="E1034" s="146">
        <v>0.12</v>
      </c>
    </row>
    <row r="1035">
      <c r="A1035" s="143">
        <v>1034.0</v>
      </c>
      <c r="B1035" s="144" t="s">
        <v>994</v>
      </c>
      <c r="C1035" s="144" t="s">
        <v>995</v>
      </c>
      <c r="D1035" s="144" t="s">
        <v>1022</v>
      </c>
      <c r="E1035" s="146">
        <v>0.12</v>
      </c>
    </row>
    <row r="1036">
      <c r="A1036" s="143">
        <v>1035.0</v>
      </c>
      <c r="B1036" s="144" t="s">
        <v>994</v>
      </c>
      <c r="C1036" s="144" t="s">
        <v>995</v>
      </c>
      <c r="D1036" s="144" t="s">
        <v>1023</v>
      </c>
      <c r="E1036" s="146">
        <v>0.12</v>
      </c>
    </row>
    <row r="1037">
      <c r="A1037" s="143">
        <v>1036.0</v>
      </c>
      <c r="B1037" s="144" t="s">
        <v>994</v>
      </c>
      <c r="C1037" s="144" t="s">
        <v>995</v>
      </c>
      <c r="D1037" s="144" t="s">
        <v>1024</v>
      </c>
      <c r="E1037" s="146">
        <v>0.12</v>
      </c>
    </row>
    <row r="1038">
      <c r="A1038" s="143">
        <v>1037.0</v>
      </c>
      <c r="B1038" s="144" t="s">
        <v>994</v>
      </c>
      <c r="C1038" s="144" t="s">
        <v>995</v>
      </c>
      <c r="D1038" s="144" t="s">
        <v>1025</v>
      </c>
      <c r="E1038" s="146">
        <v>0.12</v>
      </c>
    </row>
    <row r="1039">
      <c r="A1039" s="143">
        <v>1038.0</v>
      </c>
      <c r="B1039" s="144" t="s">
        <v>994</v>
      </c>
      <c r="C1039" s="144" t="s">
        <v>995</v>
      </c>
      <c r="D1039" s="144" t="s">
        <v>1026</v>
      </c>
      <c r="E1039" s="146">
        <v>0.12</v>
      </c>
    </row>
    <row r="1040">
      <c r="A1040" s="143">
        <v>1039.0</v>
      </c>
      <c r="B1040" s="144" t="s">
        <v>994</v>
      </c>
      <c r="C1040" s="144" t="s">
        <v>995</v>
      </c>
      <c r="D1040" s="144" t="s">
        <v>1027</v>
      </c>
      <c r="E1040" s="146">
        <v>0.12</v>
      </c>
    </row>
    <row r="1041">
      <c r="A1041" s="143">
        <v>1040.0</v>
      </c>
      <c r="B1041" s="144" t="s">
        <v>994</v>
      </c>
      <c r="C1041" s="144" t="s">
        <v>995</v>
      </c>
      <c r="D1041" s="144" t="s">
        <v>1028</v>
      </c>
      <c r="E1041" s="146">
        <v>0.12</v>
      </c>
    </row>
    <row r="1042">
      <c r="A1042" s="143">
        <v>1041.0</v>
      </c>
      <c r="B1042" s="144" t="s">
        <v>994</v>
      </c>
      <c r="C1042" s="144" t="s">
        <v>1029</v>
      </c>
      <c r="D1042" s="147"/>
      <c r="E1042" s="146">
        <v>0.12</v>
      </c>
    </row>
    <row r="1043">
      <c r="A1043" s="143">
        <v>1042.0</v>
      </c>
      <c r="B1043" s="144" t="s">
        <v>994</v>
      </c>
      <c r="C1043" s="144" t="s">
        <v>1030</v>
      </c>
      <c r="D1043" s="144" t="s">
        <v>1031</v>
      </c>
      <c r="E1043" s="146">
        <v>0.12</v>
      </c>
    </row>
    <row r="1044">
      <c r="A1044" s="143">
        <v>1043.0</v>
      </c>
      <c r="B1044" s="144" t="s">
        <v>994</v>
      </c>
      <c r="C1044" s="144" t="s">
        <v>1030</v>
      </c>
      <c r="D1044" s="144" t="s">
        <v>1032</v>
      </c>
      <c r="E1044" s="146">
        <v>0.12</v>
      </c>
    </row>
    <row r="1045">
      <c r="A1045" s="143">
        <v>1044.0</v>
      </c>
      <c r="B1045" s="144" t="s">
        <v>994</v>
      </c>
      <c r="C1045" s="144" t="s">
        <v>1030</v>
      </c>
      <c r="D1045" s="144" t="s">
        <v>62</v>
      </c>
      <c r="E1045" s="146">
        <v>0.12</v>
      </c>
    </row>
    <row r="1046">
      <c r="A1046" s="143">
        <v>1045.0</v>
      </c>
      <c r="B1046" s="144" t="s">
        <v>994</v>
      </c>
      <c r="C1046" s="144" t="s">
        <v>1030</v>
      </c>
      <c r="D1046" s="144" t="s">
        <v>1033</v>
      </c>
      <c r="E1046" s="146">
        <v>0.12</v>
      </c>
    </row>
    <row r="1047">
      <c r="A1047" s="143">
        <v>1046.0</v>
      </c>
      <c r="B1047" s="144" t="s">
        <v>994</v>
      </c>
      <c r="C1047" s="144" t="s">
        <v>62</v>
      </c>
      <c r="D1047" s="147"/>
      <c r="E1047" s="146">
        <v>0.12</v>
      </c>
    </row>
    <row r="1048">
      <c r="A1048" s="143">
        <v>1047.0</v>
      </c>
      <c r="B1048" s="144" t="s">
        <v>1034</v>
      </c>
      <c r="C1048" s="144" t="s">
        <v>1035</v>
      </c>
      <c r="D1048" s="147"/>
      <c r="E1048" s="146">
        <v>0.13</v>
      </c>
    </row>
    <row r="1049">
      <c r="A1049" s="143">
        <v>1048.0</v>
      </c>
      <c r="B1049" s="144" t="s">
        <v>1034</v>
      </c>
      <c r="C1049" s="144" t="s">
        <v>1036</v>
      </c>
      <c r="D1049" s="144" t="s">
        <v>1037</v>
      </c>
      <c r="E1049" s="146">
        <v>0.13</v>
      </c>
    </row>
    <row r="1050">
      <c r="A1050" s="143">
        <v>1049.0</v>
      </c>
      <c r="B1050" s="144" t="s">
        <v>1034</v>
      </c>
      <c r="C1050" s="144" t="s">
        <v>1036</v>
      </c>
      <c r="D1050" s="144" t="s">
        <v>1038</v>
      </c>
      <c r="E1050" s="146">
        <v>0.13</v>
      </c>
    </row>
    <row r="1051">
      <c r="A1051" s="143">
        <v>1050.0</v>
      </c>
      <c r="B1051" s="144" t="s">
        <v>1034</v>
      </c>
      <c r="C1051" s="144" t="s">
        <v>1036</v>
      </c>
      <c r="D1051" s="144" t="s">
        <v>1039</v>
      </c>
      <c r="E1051" s="146">
        <v>0.13</v>
      </c>
    </row>
    <row r="1052">
      <c r="A1052" s="143">
        <v>1051.0</v>
      </c>
      <c r="B1052" s="144" t="s">
        <v>1034</v>
      </c>
      <c r="C1052" s="144" t="s">
        <v>1036</v>
      </c>
      <c r="D1052" s="144" t="s">
        <v>1040</v>
      </c>
      <c r="E1052" s="146">
        <v>0.13</v>
      </c>
    </row>
    <row r="1053">
      <c r="A1053" s="143">
        <v>1052.0</v>
      </c>
      <c r="B1053" s="144" t="s">
        <v>1034</v>
      </c>
      <c r="C1053" s="144" t="s">
        <v>1036</v>
      </c>
      <c r="D1053" s="144" t="s">
        <v>1041</v>
      </c>
      <c r="E1053" s="146">
        <v>0.13</v>
      </c>
    </row>
    <row r="1054">
      <c r="A1054" s="143">
        <v>1053.0</v>
      </c>
      <c r="B1054" s="144" t="s">
        <v>1034</v>
      </c>
      <c r="C1054" s="144" t="s">
        <v>1036</v>
      </c>
      <c r="D1054" s="144" t="s">
        <v>62</v>
      </c>
      <c r="E1054" s="146">
        <v>0.13</v>
      </c>
    </row>
    <row r="1055">
      <c r="A1055" s="143">
        <v>1054.0</v>
      </c>
      <c r="B1055" s="144" t="s">
        <v>1034</v>
      </c>
      <c r="C1055" s="144" t="s">
        <v>1036</v>
      </c>
      <c r="D1055" s="144" t="s">
        <v>1042</v>
      </c>
      <c r="E1055" s="146">
        <v>0.13</v>
      </c>
    </row>
    <row r="1056">
      <c r="A1056" s="143">
        <v>1055.0</v>
      </c>
      <c r="B1056" s="144" t="s">
        <v>1034</v>
      </c>
      <c r="C1056" s="144" t="s">
        <v>1036</v>
      </c>
      <c r="D1056" s="144" t="s">
        <v>1043</v>
      </c>
      <c r="E1056" s="146">
        <v>0.13</v>
      </c>
    </row>
    <row r="1057">
      <c r="A1057" s="143">
        <v>1056.0</v>
      </c>
      <c r="B1057" s="144" t="s">
        <v>1034</v>
      </c>
      <c r="C1057" s="144" t="s">
        <v>1036</v>
      </c>
      <c r="D1057" s="144" t="s">
        <v>1044</v>
      </c>
      <c r="E1057" s="146">
        <v>0.13</v>
      </c>
    </row>
    <row r="1058">
      <c r="A1058" s="143">
        <v>1057.0</v>
      </c>
      <c r="B1058" s="144" t="s">
        <v>1034</v>
      </c>
      <c r="C1058" s="144" t="s">
        <v>1036</v>
      </c>
      <c r="D1058" s="144" t="s">
        <v>1045</v>
      </c>
      <c r="E1058" s="146">
        <v>0.13</v>
      </c>
    </row>
    <row r="1059">
      <c r="A1059" s="143">
        <v>1058.0</v>
      </c>
      <c r="B1059" s="144" t="s">
        <v>1034</v>
      </c>
      <c r="C1059" s="144" t="s">
        <v>1046</v>
      </c>
      <c r="D1059" s="144" t="s">
        <v>1047</v>
      </c>
      <c r="E1059" s="146">
        <v>0.13</v>
      </c>
    </row>
    <row r="1060">
      <c r="A1060" s="143">
        <v>1059.0</v>
      </c>
      <c r="B1060" s="144" t="s">
        <v>1034</v>
      </c>
      <c r="C1060" s="144" t="s">
        <v>1046</v>
      </c>
      <c r="D1060" s="144" t="s">
        <v>1048</v>
      </c>
      <c r="E1060" s="146">
        <v>0.13</v>
      </c>
    </row>
    <row r="1061">
      <c r="A1061" s="143">
        <v>1060.0</v>
      </c>
      <c r="B1061" s="144" t="s">
        <v>1034</v>
      </c>
      <c r="C1061" s="144" t="s">
        <v>1046</v>
      </c>
      <c r="D1061" s="144" t="s">
        <v>62</v>
      </c>
      <c r="E1061" s="146">
        <v>0.13</v>
      </c>
    </row>
    <row r="1062">
      <c r="A1062" s="143">
        <v>1061.0</v>
      </c>
      <c r="B1062" s="144" t="s">
        <v>1034</v>
      </c>
      <c r="C1062" s="144" t="s">
        <v>1046</v>
      </c>
      <c r="D1062" s="144" t="s">
        <v>1049</v>
      </c>
      <c r="E1062" s="146">
        <v>0.13</v>
      </c>
    </row>
    <row r="1063">
      <c r="A1063" s="143">
        <v>1062.0</v>
      </c>
      <c r="B1063" s="144" t="s">
        <v>1034</v>
      </c>
      <c r="C1063" s="144" t="s">
        <v>1046</v>
      </c>
      <c r="D1063" s="144" t="s">
        <v>1050</v>
      </c>
      <c r="E1063" s="146">
        <v>0.13</v>
      </c>
    </row>
    <row r="1064">
      <c r="A1064" s="143">
        <v>1063.0</v>
      </c>
      <c r="B1064" s="144" t="s">
        <v>1034</v>
      </c>
      <c r="C1064" s="144" t="s">
        <v>1046</v>
      </c>
      <c r="D1064" s="144" t="s">
        <v>1051</v>
      </c>
      <c r="E1064" s="146">
        <v>0.13</v>
      </c>
    </row>
    <row r="1065">
      <c r="A1065" s="143">
        <v>1064.0</v>
      </c>
      <c r="B1065" s="144" t="s">
        <v>1034</v>
      </c>
      <c r="C1065" s="144" t="s">
        <v>1052</v>
      </c>
      <c r="D1065" s="147"/>
      <c r="E1065" s="146">
        <v>0.13</v>
      </c>
    </row>
    <row r="1066">
      <c r="A1066" s="143">
        <v>1065.0</v>
      </c>
      <c r="B1066" s="144" t="s">
        <v>1034</v>
      </c>
      <c r="C1066" s="144" t="s">
        <v>62</v>
      </c>
      <c r="D1066" s="147"/>
      <c r="E1066" s="146">
        <v>0.13</v>
      </c>
    </row>
    <row r="1067">
      <c r="A1067" s="143">
        <v>1066.0</v>
      </c>
      <c r="B1067" s="144" t="s">
        <v>1034</v>
      </c>
      <c r="C1067" s="144" t="s">
        <v>1053</v>
      </c>
      <c r="D1067" s="147"/>
      <c r="E1067" s="146">
        <v>0.13</v>
      </c>
    </row>
    <row r="1068">
      <c r="A1068" s="143">
        <v>1067.0</v>
      </c>
      <c r="B1068" s="144" t="s">
        <v>1034</v>
      </c>
      <c r="C1068" s="144" t="s">
        <v>1054</v>
      </c>
      <c r="D1068" s="144" t="s">
        <v>1055</v>
      </c>
      <c r="E1068" s="146">
        <v>0.13</v>
      </c>
    </row>
    <row r="1069">
      <c r="A1069" s="143">
        <v>1068.0</v>
      </c>
      <c r="B1069" s="144" t="s">
        <v>1034</v>
      </c>
      <c r="C1069" s="144" t="s">
        <v>1054</v>
      </c>
      <c r="D1069" s="144" t="s">
        <v>1056</v>
      </c>
      <c r="E1069" s="146">
        <v>0.13</v>
      </c>
    </row>
    <row r="1070">
      <c r="A1070" s="143">
        <v>1069.0</v>
      </c>
      <c r="B1070" s="144" t="s">
        <v>1034</v>
      </c>
      <c r="C1070" s="144" t="s">
        <v>1054</v>
      </c>
      <c r="D1070" s="144" t="s">
        <v>1057</v>
      </c>
      <c r="E1070" s="146">
        <v>0.13</v>
      </c>
    </row>
    <row r="1071">
      <c r="A1071" s="143">
        <v>1070.0</v>
      </c>
      <c r="B1071" s="144" t="s">
        <v>1034</v>
      </c>
      <c r="C1071" s="144" t="s">
        <v>1054</v>
      </c>
      <c r="D1071" s="144" t="s">
        <v>1058</v>
      </c>
      <c r="E1071" s="146">
        <v>0.13</v>
      </c>
    </row>
    <row r="1072">
      <c r="A1072" s="143">
        <v>1071.0</v>
      </c>
      <c r="B1072" s="144" t="s">
        <v>1034</v>
      </c>
      <c r="C1072" s="144" t="s">
        <v>1054</v>
      </c>
      <c r="D1072" s="144" t="s">
        <v>62</v>
      </c>
      <c r="E1072" s="146">
        <v>0.13</v>
      </c>
    </row>
    <row r="1073">
      <c r="A1073" s="143">
        <v>1072.0</v>
      </c>
      <c r="B1073" s="144" t="s">
        <v>1034</v>
      </c>
      <c r="C1073" s="144" t="s">
        <v>1059</v>
      </c>
      <c r="D1073" s="144" t="s">
        <v>1060</v>
      </c>
      <c r="E1073" s="146">
        <v>0.14</v>
      </c>
    </row>
    <row r="1074">
      <c r="A1074" s="143">
        <v>1073.0</v>
      </c>
      <c r="B1074" s="144" t="s">
        <v>1034</v>
      </c>
      <c r="C1074" s="144" t="s">
        <v>1059</v>
      </c>
      <c r="D1074" s="144" t="s">
        <v>1061</v>
      </c>
      <c r="E1074" s="146">
        <v>0.14</v>
      </c>
    </row>
    <row r="1075">
      <c r="A1075" s="143">
        <v>1074.0</v>
      </c>
      <c r="B1075" s="144" t="s">
        <v>1034</v>
      </c>
      <c r="C1075" s="144" t="s">
        <v>1059</v>
      </c>
      <c r="D1075" s="144" t="s">
        <v>1062</v>
      </c>
      <c r="E1075" s="146">
        <v>0.14</v>
      </c>
    </row>
    <row r="1076">
      <c r="A1076" s="143">
        <v>1075.0</v>
      </c>
      <c r="B1076" s="144" t="s">
        <v>1034</v>
      </c>
      <c r="C1076" s="144" t="s">
        <v>1059</v>
      </c>
      <c r="D1076" s="144" t="s">
        <v>1063</v>
      </c>
      <c r="E1076" s="146">
        <v>0.14</v>
      </c>
    </row>
    <row r="1077">
      <c r="A1077" s="143">
        <v>1076.0</v>
      </c>
      <c r="B1077" s="144" t="s">
        <v>1034</v>
      </c>
      <c r="C1077" s="144" t="s">
        <v>1059</v>
      </c>
      <c r="D1077" s="144" t="s">
        <v>62</v>
      </c>
      <c r="E1077" s="146">
        <v>0.14</v>
      </c>
    </row>
    <row r="1078">
      <c r="A1078" s="143">
        <v>1077.0</v>
      </c>
      <c r="B1078" s="144" t="s">
        <v>1034</v>
      </c>
      <c r="C1078" s="144" t="s">
        <v>1059</v>
      </c>
      <c r="D1078" s="144" t="s">
        <v>1064</v>
      </c>
      <c r="E1078" s="146">
        <v>0.14</v>
      </c>
    </row>
    <row r="1079">
      <c r="A1079" s="143">
        <v>1078.0</v>
      </c>
      <c r="B1079" s="144" t="s">
        <v>1034</v>
      </c>
      <c r="C1079" s="144" t="s">
        <v>1059</v>
      </c>
      <c r="D1079" s="144" t="s">
        <v>1065</v>
      </c>
      <c r="E1079" s="146">
        <v>0.14</v>
      </c>
    </row>
    <row r="1080">
      <c r="A1080" s="143">
        <v>1079.0</v>
      </c>
      <c r="B1080" s="144" t="s">
        <v>1034</v>
      </c>
      <c r="C1080" s="144" t="s">
        <v>1059</v>
      </c>
      <c r="D1080" s="144" t="s">
        <v>1066</v>
      </c>
      <c r="E1080" s="146">
        <v>0.14</v>
      </c>
    </row>
    <row r="1081">
      <c r="A1081" s="143">
        <v>1080.0</v>
      </c>
      <c r="B1081" s="144" t="s">
        <v>1034</v>
      </c>
      <c r="C1081" s="144" t="s">
        <v>1059</v>
      </c>
      <c r="D1081" s="144" t="s">
        <v>1067</v>
      </c>
      <c r="E1081" s="146">
        <v>0.14</v>
      </c>
    </row>
    <row r="1082">
      <c r="A1082" s="143">
        <v>1081.0</v>
      </c>
      <c r="B1082" s="144" t="s">
        <v>1034</v>
      </c>
      <c r="C1082" s="144" t="s">
        <v>1059</v>
      </c>
      <c r="D1082" s="144" t="s">
        <v>1068</v>
      </c>
      <c r="E1082" s="146">
        <v>0.14</v>
      </c>
    </row>
    <row r="1083">
      <c r="A1083" s="143">
        <v>1082.0</v>
      </c>
      <c r="B1083" s="144" t="s">
        <v>1034</v>
      </c>
      <c r="C1083" s="144" t="s">
        <v>1069</v>
      </c>
      <c r="D1083" s="147"/>
      <c r="E1083" s="146">
        <v>0.13</v>
      </c>
    </row>
    <row r="1084">
      <c r="A1084" s="143">
        <v>1083.0</v>
      </c>
      <c r="B1084" s="144" t="s">
        <v>1070</v>
      </c>
      <c r="C1084" s="144" t="s">
        <v>1071</v>
      </c>
      <c r="D1084" s="144" t="s">
        <v>1072</v>
      </c>
      <c r="E1084" s="146">
        <v>0.13</v>
      </c>
    </row>
    <row r="1085">
      <c r="A1085" s="143">
        <v>1084.0</v>
      </c>
      <c r="B1085" s="144" t="s">
        <v>1070</v>
      </c>
      <c r="C1085" s="144" t="s">
        <v>1071</v>
      </c>
      <c r="D1085" s="144" t="s">
        <v>1073</v>
      </c>
      <c r="E1085" s="146">
        <v>0.13</v>
      </c>
    </row>
    <row r="1086">
      <c r="A1086" s="143">
        <v>1085.0</v>
      </c>
      <c r="B1086" s="144" t="s">
        <v>1070</v>
      </c>
      <c r="C1086" s="144" t="s">
        <v>1071</v>
      </c>
      <c r="D1086" s="144" t="s">
        <v>1074</v>
      </c>
      <c r="E1086" s="146">
        <v>0.11</v>
      </c>
    </row>
    <row r="1087">
      <c r="A1087" s="143">
        <v>1086.0</v>
      </c>
      <c r="B1087" s="144" t="s">
        <v>1070</v>
      </c>
      <c r="C1087" s="144" t="s">
        <v>1071</v>
      </c>
      <c r="D1087" s="144" t="s">
        <v>62</v>
      </c>
      <c r="E1087" s="146">
        <v>0.13</v>
      </c>
    </row>
    <row r="1088">
      <c r="A1088" s="143">
        <v>1087.0</v>
      </c>
      <c r="B1088" s="144" t="s">
        <v>1070</v>
      </c>
      <c r="C1088" s="144" t="s">
        <v>1071</v>
      </c>
      <c r="D1088" s="144" t="s">
        <v>1075</v>
      </c>
      <c r="E1088" s="146">
        <v>0.13</v>
      </c>
    </row>
    <row r="1089">
      <c r="A1089" s="143">
        <v>1088.0</v>
      </c>
      <c r="B1089" s="144" t="s">
        <v>1070</v>
      </c>
      <c r="C1089" s="144" t="s">
        <v>1071</v>
      </c>
      <c r="D1089" s="144" t="s">
        <v>1076</v>
      </c>
      <c r="E1089" s="146">
        <v>0.13</v>
      </c>
    </row>
    <row r="1090">
      <c r="A1090" s="143">
        <v>1089.0</v>
      </c>
      <c r="B1090" s="144" t="s">
        <v>1070</v>
      </c>
      <c r="C1090" s="144" t="s">
        <v>1071</v>
      </c>
      <c r="D1090" s="144" t="s">
        <v>1077</v>
      </c>
      <c r="E1090" s="146">
        <v>0.13</v>
      </c>
    </row>
    <row r="1091">
      <c r="A1091" s="143">
        <v>1090.0</v>
      </c>
      <c r="B1091" s="144" t="s">
        <v>1070</v>
      </c>
      <c r="C1091" s="144" t="s">
        <v>1071</v>
      </c>
      <c r="D1091" s="144" t="s">
        <v>1078</v>
      </c>
      <c r="E1091" s="146">
        <v>0.11</v>
      </c>
    </row>
    <row r="1092">
      <c r="A1092" s="143">
        <v>1091.0</v>
      </c>
      <c r="B1092" s="144" t="s">
        <v>1070</v>
      </c>
      <c r="C1092" s="144" t="s">
        <v>1071</v>
      </c>
      <c r="D1092" s="144" t="s">
        <v>1079</v>
      </c>
      <c r="E1092" s="146">
        <v>0.13</v>
      </c>
    </row>
    <row r="1093">
      <c r="A1093" s="143">
        <v>1092.0</v>
      </c>
      <c r="B1093" s="144" t="s">
        <v>1070</v>
      </c>
      <c r="C1093" s="144" t="s">
        <v>1071</v>
      </c>
      <c r="D1093" s="144" t="s">
        <v>1080</v>
      </c>
      <c r="E1093" s="146">
        <v>0.13</v>
      </c>
    </row>
    <row r="1094">
      <c r="A1094" s="143">
        <v>1093.0</v>
      </c>
      <c r="B1094" s="144" t="s">
        <v>1070</v>
      </c>
      <c r="C1094" s="144" t="s">
        <v>1071</v>
      </c>
      <c r="D1094" s="144" t="s">
        <v>1081</v>
      </c>
      <c r="E1094" s="146">
        <v>0.11</v>
      </c>
    </row>
    <row r="1095">
      <c r="A1095" s="143">
        <v>1094.0</v>
      </c>
      <c r="B1095" s="144" t="s">
        <v>1070</v>
      </c>
      <c r="C1095" s="144" t="s">
        <v>1071</v>
      </c>
      <c r="D1095" s="144" t="s">
        <v>1082</v>
      </c>
      <c r="E1095" s="146">
        <v>0.13</v>
      </c>
    </row>
    <row r="1096">
      <c r="A1096" s="143">
        <v>1095.0</v>
      </c>
      <c r="B1096" s="144" t="s">
        <v>1070</v>
      </c>
      <c r="C1096" s="144" t="s">
        <v>1071</v>
      </c>
      <c r="D1096" s="144" t="s">
        <v>1083</v>
      </c>
      <c r="E1096" s="146">
        <v>0.13</v>
      </c>
    </row>
    <row r="1097">
      <c r="A1097" s="143">
        <v>1096.0</v>
      </c>
      <c r="B1097" s="144" t="s">
        <v>1070</v>
      </c>
      <c r="C1097" s="144" t="s">
        <v>1084</v>
      </c>
      <c r="D1097" s="144" t="s">
        <v>1085</v>
      </c>
      <c r="E1097" s="146">
        <v>0.13</v>
      </c>
    </row>
    <row r="1098">
      <c r="A1098" s="143">
        <v>1097.0</v>
      </c>
      <c r="B1098" s="144" t="s">
        <v>1070</v>
      </c>
      <c r="C1098" s="144" t="s">
        <v>1084</v>
      </c>
      <c r="D1098" s="144" t="s">
        <v>1086</v>
      </c>
      <c r="E1098" s="146">
        <v>0.13</v>
      </c>
    </row>
    <row r="1099">
      <c r="A1099" s="143">
        <v>1098.0</v>
      </c>
      <c r="B1099" s="144" t="s">
        <v>1070</v>
      </c>
      <c r="C1099" s="144" t="s">
        <v>1084</v>
      </c>
      <c r="D1099" s="144" t="s">
        <v>1087</v>
      </c>
      <c r="E1099" s="146">
        <v>0.13</v>
      </c>
    </row>
    <row r="1100">
      <c r="A1100" s="143">
        <v>1099.0</v>
      </c>
      <c r="B1100" s="144" t="s">
        <v>1070</v>
      </c>
      <c r="C1100" s="144" t="s">
        <v>1084</v>
      </c>
      <c r="D1100" s="144" t="s">
        <v>1088</v>
      </c>
      <c r="E1100" s="146">
        <v>0.13</v>
      </c>
    </row>
    <row r="1101">
      <c r="A1101" s="143">
        <v>1100.0</v>
      </c>
      <c r="B1101" s="144" t="s">
        <v>1070</v>
      </c>
      <c r="C1101" s="144" t="s">
        <v>1084</v>
      </c>
      <c r="D1101" s="144" t="s">
        <v>1089</v>
      </c>
      <c r="E1101" s="146">
        <v>0.13</v>
      </c>
    </row>
    <row r="1102">
      <c r="A1102" s="143">
        <v>1101.0</v>
      </c>
      <c r="B1102" s="144" t="s">
        <v>1070</v>
      </c>
      <c r="C1102" s="144" t="s">
        <v>1084</v>
      </c>
      <c r="D1102" s="144" t="s">
        <v>1090</v>
      </c>
      <c r="E1102" s="146">
        <v>0.13</v>
      </c>
    </row>
    <row r="1103">
      <c r="A1103" s="143">
        <v>1102.0</v>
      </c>
      <c r="B1103" s="144" t="s">
        <v>1070</v>
      </c>
      <c r="C1103" s="144" t="s">
        <v>1084</v>
      </c>
      <c r="D1103" s="144" t="s">
        <v>1091</v>
      </c>
      <c r="E1103" s="146">
        <v>0.13</v>
      </c>
    </row>
    <row r="1104">
      <c r="A1104" s="143">
        <v>1103.0</v>
      </c>
      <c r="B1104" s="144" t="s">
        <v>1070</v>
      </c>
      <c r="C1104" s="144" t="s">
        <v>1084</v>
      </c>
      <c r="D1104" s="144" t="s">
        <v>62</v>
      </c>
      <c r="E1104" s="146">
        <v>0.13</v>
      </c>
    </row>
    <row r="1105">
      <c r="A1105" s="143">
        <v>1104.0</v>
      </c>
      <c r="B1105" s="144" t="s">
        <v>1070</v>
      </c>
      <c r="C1105" s="144" t="s">
        <v>1084</v>
      </c>
      <c r="D1105" s="144" t="s">
        <v>1092</v>
      </c>
      <c r="E1105" s="146">
        <v>0.13</v>
      </c>
    </row>
    <row r="1106">
      <c r="A1106" s="143">
        <v>1105.0</v>
      </c>
      <c r="B1106" s="144" t="s">
        <v>1070</v>
      </c>
      <c r="C1106" s="144" t="s">
        <v>1093</v>
      </c>
      <c r="D1106" s="144" t="s">
        <v>1094</v>
      </c>
      <c r="E1106" s="146">
        <v>0.13</v>
      </c>
    </row>
    <row r="1107">
      <c r="A1107" s="143">
        <v>1106.0</v>
      </c>
      <c r="B1107" s="144" t="s">
        <v>1070</v>
      </c>
      <c r="C1107" s="144" t="s">
        <v>1093</v>
      </c>
      <c r="D1107" s="144" t="s">
        <v>1095</v>
      </c>
      <c r="E1107" s="146">
        <v>0.13</v>
      </c>
    </row>
    <row r="1108">
      <c r="A1108" s="143">
        <v>1107.0</v>
      </c>
      <c r="B1108" s="144" t="s">
        <v>1070</v>
      </c>
      <c r="C1108" s="144" t="s">
        <v>1093</v>
      </c>
      <c r="D1108" s="144" t="s">
        <v>332</v>
      </c>
      <c r="E1108" s="146">
        <v>0.13</v>
      </c>
    </row>
    <row r="1109">
      <c r="A1109" s="143">
        <v>1108.0</v>
      </c>
      <c r="B1109" s="144" t="s">
        <v>1070</v>
      </c>
      <c r="C1109" s="144" t="s">
        <v>1093</v>
      </c>
      <c r="D1109" s="144" t="s">
        <v>1096</v>
      </c>
      <c r="E1109" s="146">
        <v>0.13</v>
      </c>
    </row>
    <row r="1110">
      <c r="A1110" s="143">
        <v>1109.0</v>
      </c>
      <c r="B1110" s="144" t="s">
        <v>1070</v>
      </c>
      <c r="C1110" s="144" t="s">
        <v>1093</v>
      </c>
      <c r="D1110" s="144" t="s">
        <v>1097</v>
      </c>
      <c r="E1110" s="146">
        <v>0.13</v>
      </c>
    </row>
    <row r="1111">
      <c r="A1111" s="143">
        <v>1110.0</v>
      </c>
      <c r="B1111" s="144" t="s">
        <v>1070</v>
      </c>
      <c r="C1111" s="144" t="s">
        <v>1093</v>
      </c>
      <c r="D1111" s="144" t="s">
        <v>1098</v>
      </c>
      <c r="E1111" s="146">
        <v>0.13</v>
      </c>
    </row>
    <row r="1112">
      <c r="A1112" s="143">
        <v>1111.0</v>
      </c>
      <c r="B1112" s="144" t="s">
        <v>1070</v>
      </c>
      <c r="C1112" s="144" t="s">
        <v>1093</v>
      </c>
      <c r="D1112" s="144" t="s">
        <v>1099</v>
      </c>
      <c r="E1112" s="146">
        <v>0.13</v>
      </c>
    </row>
    <row r="1113">
      <c r="A1113" s="143">
        <v>1112.0</v>
      </c>
      <c r="B1113" s="144" t="s">
        <v>1070</v>
      </c>
      <c r="C1113" s="144" t="s">
        <v>1093</v>
      </c>
      <c r="D1113" s="144" t="s">
        <v>1100</v>
      </c>
      <c r="E1113" s="146">
        <v>0.13</v>
      </c>
    </row>
    <row r="1114">
      <c r="A1114" s="143">
        <v>1113.0</v>
      </c>
      <c r="B1114" s="144" t="s">
        <v>1070</v>
      </c>
      <c r="C1114" s="144" t="s">
        <v>1093</v>
      </c>
      <c r="D1114" s="144" t="s">
        <v>62</v>
      </c>
      <c r="E1114" s="146">
        <v>0.13</v>
      </c>
    </row>
    <row r="1115">
      <c r="A1115" s="143">
        <v>1114.0</v>
      </c>
      <c r="B1115" s="144" t="s">
        <v>1070</v>
      </c>
      <c r="C1115" s="144" t="s">
        <v>1093</v>
      </c>
      <c r="D1115" s="144" t="s">
        <v>1101</v>
      </c>
      <c r="E1115" s="146">
        <v>0.13</v>
      </c>
    </row>
    <row r="1116">
      <c r="A1116" s="143">
        <v>1115.0</v>
      </c>
      <c r="B1116" s="144" t="s">
        <v>1070</v>
      </c>
      <c r="C1116" s="144" t="s">
        <v>1093</v>
      </c>
      <c r="D1116" s="144" t="s">
        <v>1102</v>
      </c>
      <c r="E1116" s="146">
        <v>0.13</v>
      </c>
    </row>
    <row r="1117">
      <c r="A1117" s="143">
        <v>1116.0</v>
      </c>
      <c r="B1117" s="144" t="s">
        <v>1070</v>
      </c>
      <c r="C1117" s="144" t="s">
        <v>1093</v>
      </c>
      <c r="D1117" s="144" t="s">
        <v>1103</v>
      </c>
      <c r="E1117" s="146">
        <v>0.13</v>
      </c>
    </row>
    <row r="1118">
      <c r="A1118" s="143">
        <v>1117.0</v>
      </c>
      <c r="B1118" s="144" t="s">
        <v>1070</v>
      </c>
      <c r="C1118" s="144" t="s">
        <v>1093</v>
      </c>
      <c r="D1118" s="144" t="s">
        <v>1104</v>
      </c>
      <c r="E1118" s="146">
        <v>0.13</v>
      </c>
    </row>
    <row r="1119">
      <c r="A1119" s="143">
        <v>1118.0</v>
      </c>
      <c r="B1119" s="144" t="s">
        <v>1070</v>
      </c>
      <c r="C1119" s="144" t="s">
        <v>1105</v>
      </c>
      <c r="D1119" s="144" t="s">
        <v>1106</v>
      </c>
      <c r="E1119" s="146">
        <v>0.13</v>
      </c>
    </row>
    <row r="1120">
      <c r="A1120" s="143">
        <v>1119.0</v>
      </c>
      <c r="B1120" s="144" t="s">
        <v>1070</v>
      </c>
      <c r="C1120" s="144" t="s">
        <v>1105</v>
      </c>
      <c r="D1120" s="144" t="s">
        <v>1107</v>
      </c>
      <c r="E1120" s="146">
        <v>0.13</v>
      </c>
    </row>
    <row r="1121">
      <c r="A1121" s="143">
        <v>1120.0</v>
      </c>
      <c r="B1121" s="144" t="s">
        <v>1070</v>
      </c>
      <c r="C1121" s="144" t="s">
        <v>1105</v>
      </c>
      <c r="D1121" s="144" t="s">
        <v>1108</v>
      </c>
      <c r="E1121" s="146">
        <v>0.13</v>
      </c>
    </row>
    <row r="1122">
      <c r="A1122" s="143">
        <v>1121.0</v>
      </c>
      <c r="B1122" s="144" t="s">
        <v>1070</v>
      </c>
      <c r="C1122" s="144" t="s">
        <v>1105</v>
      </c>
      <c r="D1122" s="144" t="s">
        <v>1109</v>
      </c>
      <c r="E1122" s="146">
        <v>0.13</v>
      </c>
    </row>
    <row r="1123">
      <c r="A1123" s="143">
        <v>1122.0</v>
      </c>
      <c r="B1123" s="144" t="s">
        <v>1070</v>
      </c>
      <c r="C1123" s="144" t="s">
        <v>1105</v>
      </c>
      <c r="D1123" s="144" t="s">
        <v>1110</v>
      </c>
      <c r="E1123" s="146">
        <v>0.13</v>
      </c>
    </row>
    <row r="1124">
      <c r="A1124" s="143">
        <v>1123.0</v>
      </c>
      <c r="B1124" s="144" t="s">
        <v>1070</v>
      </c>
      <c r="C1124" s="144" t="s">
        <v>1105</v>
      </c>
      <c r="D1124" s="144" t="s">
        <v>62</v>
      </c>
      <c r="E1124" s="146">
        <v>0.13</v>
      </c>
    </row>
    <row r="1125">
      <c r="A1125" s="143">
        <v>1124.0</v>
      </c>
      <c r="B1125" s="144" t="s">
        <v>1070</v>
      </c>
      <c r="C1125" s="144" t="s">
        <v>1105</v>
      </c>
      <c r="D1125" s="144" t="s">
        <v>1111</v>
      </c>
      <c r="E1125" s="146">
        <v>0.13</v>
      </c>
    </row>
    <row r="1126">
      <c r="A1126" s="143">
        <v>1125.0</v>
      </c>
      <c r="B1126" s="144" t="s">
        <v>1070</v>
      </c>
      <c r="C1126" s="144" t="s">
        <v>1105</v>
      </c>
      <c r="D1126" s="144" t="s">
        <v>1112</v>
      </c>
      <c r="E1126" s="146">
        <v>0.13</v>
      </c>
    </row>
    <row r="1127">
      <c r="A1127" s="143">
        <v>1126.0</v>
      </c>
      <c r="B1127" s="144" t="s">
        <v>1070</v>
      </c>
      <c r="C1127" s="144" t="s">
        <v>1105</v>
      </c>
      <c r="D1127" s="144" t="s">
        <v>1113</v>
      </c>
      <c r="E1127" s="146">
        <v>0.13</v>
      </c>
    </row>
    <row r="1128">
      <c r="A1128" s="143">
        <v>1127.0</v>
      </c>
      <c r="B1128" s="144" t="s">
        <v>1070</v>
      </c>
      <c r="C1128" s="144" t="s">
        <v>1105</v>
      </c>
      <c r="D1128" s="144" t="s">
        <v>1114</v>
      </c>
      <c r="E1128" s="146">
        <v>0.13</v>
      </c>
    </row>
    <row r="1129">
      <c r="A1129" s="143">
        <v>1128.0</v>
      </c>
      <c r="B1129" s="144" t="s">
        <v>1070</v>
      </c>
      <c r="C1129" s="144" t="s">
        <v>1105</v>
      </c>
      <c r="D1129" s="144" t="s">
        <v>1115</v>
      </c>
      <c r="E1129" s="146">
        <v>0.13</v>
      </c>
    </row>
    <row r="1130">
      <c r="A1130" s="143">
        <v>1129.0</v>
      </c>
      <c r="B1130" s="144" t="s">
        <v>1070</v>
      </c>
      <c r="C1130" s="144" t="s">
        <v>1116</v>
      </c>
      <c r="D1130" s="147"/>
      <c r="E1130" s="146">
        <v>0.13</v>
      </c>
    </row>
    <row r="1131">
      <c r="A1131" s="143">
        <v>1130.0</v>
      </c>
      <c r="B1131" s="144" t="s">
        <v>1070</v>
      </c>
      <c r="C1131" s="144" t="s">
        <v>1117</v>
      </c>
      <c r="D1131" s="144" t="s">
        <v>1118</v>
      </c>
      <c r="E1131" s="146">
        <v>0.13</v>
      </c>
    </row>
    <row r="1132">
      <c r="A1132" s="143">
        <v>1131.0</v>
      </c>
      <c r="B1132" s="144" t="s">
        <v>1070</v>
      </c>
      <c r="C1132" s="144" t="s">
        <v>1117</v>
      </c>
      <c r="D1132" s="144" t="s">
        <v>1119</v>
      </c>
      <c r="E1132" s="146">
        <v>0.13</v>
      </c>
    </row>
    <row r="1133">
      <c r="A1133" s="143">
        <v>1132.0</v>
      </c>
      <c r="B1133" s="144" t="s">
        <v>1070</v>
      </c>
      <c r="C1133" s="144" t="s">
        <v>1117</v>
      </c>
      <c r="D1133" s="144" t="s">
        <v>1120</v>
      </c>
      <c r="E1133" s="146">
        <v>0.13</v>
      </c>
    </row>
    <row r="1134">
      <c r="A1134" s="143">
        <v>1133.0</v>
      </c>
      <c r="B1134" s="144" t="s">
        <v>1070</v>
      </c>
      <c r="C1134" s="144" t="s">
        <v>1117</v>
      </c>
      <c r="D1134" s="144" t="s">
        <v>1121</v>
      </c>
      <c r="E1134" s="146">
        <v>0.13</v>
      </c>
    </row>
    <row r="1135">
      <c r="A1135" s="143">
        <v>1134.0</v>
      </c>
      <c r="B1135" s="144" t="s">
        <v>1070</v>
      </c>
      <c r="C1135" s="144" t="s">
        <v>1117</v>
      </c>
      <c r="D1135" s="144" t="s">
        <v>1122</v>
      </c>
      <c r="E1135" s="146">
        <v>0.13</v>
      </c>
    </row>
    <row r="1136">
      <c r="A1136" s="143">
        <v>1135.0</v>
      </c>
      <c r="B1136" s="144" t="s">
        <v>1070</v>
      </c>
      <c r="C1136" s="144" t="s">
        <v>1117</v>
      </c>
      <c r="D1136" s="144" t="s">
        <v>1123</v>
      </c>
      <c r="E1136" s="146">
        <v>0.13</v>
      </c>
    </row>
    <row r="1137">
      <c r="A1137" s="143">
        <v>1136.0</v>
      </c>
      <c r="B1137" s="144" t="s">
        <v>1070</v>
      </c>
      <c r="C1137" s="144" t="s">
        <v>1117</v>
      </c>
      <c r="D1137" s="144" t="s">
        <v>62</v>
      </c>
      <c r="E1137" s="146">
        <v>0.13</v>
      </c>
    </row>
    <row r="1138">
      <c r="A1138" s="143">
        <v>1137.0</v>
      </c>
      <c r="B1138" s="144" t="s">
        <v>1070</v>
      </c>
      <c r="C1138" s="144" t="s">
        <v>1117</v>
      </c>
      <c r="D1138" s="144" t="s">
        <v>1124</v>
      </c>
      <c r="E1138" s="146">
        <v>0.13</v>
      </c>
    </row>
    <row r="1139">
      <c r="A1139" s="143">
        <v>1138.0</v>
      </c>
      <c r="B1139" s="144" t="s">
        <v>1070</v>
      </c>
      <c r="C1139" s="144" t="s">
        <v>1117</v>
      </c>
      <c r="D1139" s="144" t="s">
        <v>1125</v>
      </c>
      <c r="E1139" s="146">
        <v>0.13</v>
      </c>
    </row>
    <row r="1140">
      <c r="A1140" s="143">
        <v>1139.0</v>
      </c>
      <c r="B1140" s="144" t="s">
        <v>1070</v>
      </c>
      <c r="C1140" s="144" t="s">
        <v>1117</v>
      </c>
      <c r="D1140" s="144" t="s">
        <v>1126</v>
      </c>
      <c r="E1140" s="146">
        <v>0.13</v>
      </c>
    </row>
    <row r="1141">
      <c r="A1141" s="143">
        <v>1140.0</v>
      </c>
      <c r="B1141" s="144" t="s">
        <v>1070</v>
      </c>
      <c r="C1141" s="144" t="s">
        <v>1127</v>
      </c>
      <c r="D1141" s="144" t="s">
        <v>1128</v>
      </c>
      <c r="E1141" s="146">
        <v>0.11</v>
      </c>
    </row>
    <row r="1142">
      <c r="A1142" s="143">
        <v>1141.0</v>
      </c>
      <c r="B1142" s="144" t="s">
        <v>1070</v>
      </c>
      <c r="C1142" s="144" t="s">
        <v>1127</v>
      </c>
      <c r="D1142" s="144" t="s">
        <v>1129</v>
      </c>
      <c r="E1142" s="146">
        <v>0.11</v>
      </c>
    </row>
    <row r="1143">
      <c r="A1143" s="143">
        <v>1142.0</v>
      </c>
      <c r="B1143" s="144" t="s">
        <v>1070</v>
      </c>
      <c r="C1143" s="144" t="s">
        <v>1127</v>
      </c>
      <c r="D1143" s="144" t="s">
        <v>1130</v>
      </c>
      <c r="E1143" s="146">
        <v>0.11</v>
      </c>
    </row>
    <row r="1144">
      <c r="A1144" s="143">
        <v>1143.0</v>
      </c>
      <c r="B1144" s="144" t="s">
        <v>1070</v>
      </c>
      <c r="C1144" s="144" t="s">
        <v>1127</v>
      </c>
      <c r="D1144" s="144" t="s">
        <v>1131</v>
      </c>
      <c r="E1144" s="146">
        <v>0.11</v>
      </c>
    </row>
    <row r="1145">
      <c r="A1145" s="143">
        <v>1144.0</v>
      </c>
      <c r="B1145" s="144" t="s">
        <v>1070</v>
      </c>
      <c r="C1145" s="144" t="s">
        <v>1127</v>
      </c>
      <c r="D1145" s="144" t="s">
        <v>1132</v>
      </c>
      <c r="E1145" s="146">
        <v>0.11</v>
      </c>
    </row>
    <row r="1146">
      <c r="A1146" s="143">
        <v>1145.0</v>
      </c>
      <c r="B1146" s="144" t="s">
        <v>1070</v>
      </c>
      <c r="C1146" s="144" t="s">
        <v>1127</v>
      </c>
      <c r="D1146" s="144" t="s">
        <v>1133</v>
      </c>
      <c r="E1146" s="146">
        <v>0.11</v>
      </c>
    </row>
    <row r="1147">
      <c r="A1147" s="143">
        <v>1146.0</v>
      </c>
      <c r="B1147" s="144" t="s">
        <v>1070</v>
      </c>
      <c r="C1147" s="144" t="s">
        <v>1127</v>
      </c>
      <c r="D1147" s="144" t="s">
        <v>62</v>
      </c>
      <c r="E1147" s="146">
        <v>0.11</v>
      </c>
    </row>
    <row r="1148">
      <c r="A1148" s="143">
        <v>1147.0</v>
      </c>
      <c r="B1148" s="144" t="s">
        <v>1070</v>
      </c>
      <c r="C1148" s="144" t="s">
        <v>1127</v>
      </c>
      <c r="D1148" s="144" t="s">
        <v>1134</v>
      </c>
      <c r="E1148" s="146">
        <v>0.11</v>
      </c>
    </row>
    <row r="1149">
      <c r="A1149" s="143">
        <v>1148.0</v>
      </c>
      <c r="B1149" s="144" t="s">
        <v>1070</v>
      </c>
      <c r="C1149" s="144" t="s">
        <v>1127</v>
      </c>
      <c r="D1149" s="144" t="s">
        <v>1135</v>
      </c>
      <c r="E1149" s="146">
        <v>0.11</v>
      </c>
    </row>
    <row r="1150">
      <c r="A1150" s="143">
        <v>1149.0</v>
      </c>
      <c r="B1150" s="144" t="s">
        <v>1070</v>
      </c>
      <c r="C1150" s="144" t="s">
        <v>1127</v>
      </c>
      <c r="D1150" s="144" t="s">
        <v>1136</v>
      </c>
      <c r="E1150" s="146">
        <v>0.11</v>
      </c>
    </row>
    <row r="1151">
      <c r="A1151" s="143">
        <v>1150.0</v>
      </c>
      <c r="B1151" s="144" t="s">
        <v>1070</v>
      </c>
      <c r="C1151" s="144" t="s">
        <v>1137</v>
      </c>
      <c r="D1151" s="147"/>
      <c r="E1151" s="146">
        <v>0.13</v>
      </c>
    </row>
    <row r="1152">
      <c r="A1152" s="143">
        <v>1151.0</v>
      </c>
      <c r="B1152" s="144" t="s">
        <v>1070</v>
      </c>
      <c r="C1152" s="144" t="s">
        <v>1138</v>
      </c>
      <c r="D1152" s="144" t="s">
        <v>1139</v>
      </c>
      <c r="E1152" s="146">
        <v>0.11</v>
      </c>
    </row>
    <row r="1153">
      <c r="A1153" s="143">
        <v>1152.0</v>
      </c>
      <c r="B1153" s="144" t="s">
        <v>1070</v>
      </c>
      <c r="C1153" s="144" t="s">
        <v>1138</v>
      </c>
      <c r="D1153" s="144" t="s">
        <v>1140</v>
      </c>
      <c r="E1153" s="146">
        <v>0.11</v>
      </c>
    </row>
    <row r="1154">
      <c r="A1154" s="143">
        <v>1153.0</v>
      </c>
      <c r="B1154" s="144" t="s">
        <v>1070</v>
      </c>
      <c r="C1154" s="144" t="s">
        <v>1138</v>
      </c>
      <c r="D1154" s="144" t="s">
        <v>1141</v>
      </c>
      <c r="E1154" s="146">
        <v>0.115</v>
      </c>
    </row>
    <row r="1155">
      <c r="A1155" s="143">
        <v>1154.0</v>
      </c>
      <c r="B1155" s="144" t="s">
        <v>1070</v>
      </c>
      <c r="C1155" s="144" t="s">
        <v>1138</v>
      </c>
      <c r="D1155" s="144" t="s">
        <v>1142</v>
      </c>
      <c r="E1155" s="146">
        <v>0.11</v>
      </c>
    </row>
    <row r="1156">
      <c r="A1156" s="143">
        <v>1155.0</v>
      </c>
      <c r="B1156" s="144" t="s">
        <v>1070</v>
      </c>
      <c r="C1156" s="144" t="s">
        <v>1138</v>
      </c>
      <c r="D1156" s="144" t="s">
        <v>1143</v>
      </c>
      <c r="E1156" s="146">
        <v>0.11</v>
      </c>
    </row>
    <row r="1157">
      <c r="A1157" s="143">
        <v>1156.0</v>
      </c>
      <c r="B1157" s="144" t="s">
        <v>1070</v>
      </c>
      <c r="C1157" s="144" t="s">
        <v>1138</v>
      </c>
      <c r="D1157" s="144" t="s">
        <v>1144</v>
      </c>
      <c r="E1157" s="146">
        <v>0.11</v>
      </c>
    </row>
    <row r="1158">
      <c r="A1158" s="143">
        <v>1157.0</v>
      </c>
      <c r="B1158" s="144" t="s">
        <v>1070</v>
      </c>
      <c r="C1158" s="144" t="s">
        <v>1138</v>
      </c>
      <c r="D1158" s="144" t="s">
        <v>1145</v>
      </c>
      <c r="E1158" s="146">
        <v>0.11</v>
      </c>
    </row>
    <row r="1159">
      <c r="A1159" s="143">
        <v>1158.0</v>
      </c>
      <c r="B1159" s="144" t="s">
        <v>1070</v>
      </c>
      <c r="C1159" s="144" t="s">
        <v>1138</v>
      </c>
      <c r="D1159" s="144" t="s">
        <v>1146</v>
      </c>
      <c r="E1159" s="146">
        <v>0.115</v>
      </c>
    </row>
    <row r="1160">
      <c r="A1160" s="143">
        <v>1159.0</v>
      </c>
      <c r="B1160" s="144" t="s">
        <v>1070</v>
      </c>
      <c r="C1160" s="144" t="s">
        <v>1138</v>
      </c>
      <c r="D1160" s="144" t="s">
        <v>1147</v>
      </c>
      <c r="E1160" s="146">
        <v>0.11</v>
      </c>
    </row>
    <row r="1161">
      <c r="A1161" s="143">
        <v>1160.0</v>
      </c>
      <c r="B1161" s="144" t="s">
        <v>1070</v>
      </c>
      <c r="C1161" s="144" t="s">
        <v>1138</v>
      </c>
      <c r="D1161" s="144" t="s">
        <v>62</v>
      </c>
      <c r="E1161" s="146">
        <v>0.11</v>
      </c>
    </row>
    <row r="1162">
      <c r="A1162" s="143">
        <v>1161.0</v>
      </c>
      <c r="B1162" s="144" t="s">
        <v>1070</v>
      </c>
      <c r="C1162" s="144" t="s">
        <v>1138</v>
      </c>
      <c r="D1162" s="144" t="s">
        <v>1148</v>
      </c>
      <c r="E1162" s="146">
        <v>0.11</v>
      </c>
    </row>
    <row r="1163">
      <c r="A1163" s="143">
        <v>1162.0</v>
      </c>
      <c r="B1163" s="144" t="s">
        <v>1070</v>
      </c>
      <c r="C1163" s="144" t="s">
        <v>1138</v>
      </c>
      <c r="D1163" s="144" t="s">
        <v>1149</v>
      </c>
      <c r="E1163" s="146">
        <v>0.11</v>
      </c>
    </row>
    <row r="1164">
      <c r="A1164" s="143">
        <v>1163.0</v>
      </c>
      <c r="B1164" s="144" t="s">
        <v>1070</v>
      </c>
      <c r="C1164" s="144" t="s">
        <v>1138</v>
      </c>
      <c r="D1164" s="144" t="s">
        <v>1150</v>
      </c>
      <c r="E1164" s="146">
        <v>0.11</v>
      </c>
    </row>
    <row r="1165">
      <c r="A1165" s="143">
        <v>1164.0</v>
      </c>
      <c r="B1165" s="144" t="s">
        <v>1070</v>
      </c>
      <c r="C1165" s="144" t="s">
        <v>1138</v>
      </c>
      <c r="D1165" s="144" t="s">
        <v>1151</v>
      </c>
      <c r="E1165" s="146">
        <v>0.115</v>
      </c>
    </row>
    <row r="1166">
      <c r="A1166" s="143">
        <v>1165.0</v>
      </c>
      <c r="B1166" s="144" t="s">
        <v>1070</v>
      </c>
      <c r="C1166" s="144" t="s">
        <v>1138</v>
      </c>
      <c r="D1166" s="144" t="s">
        <v>1152</v>
      </c>
      <c r="E1166" s="146">
        <v>0.115</v>
      </c>
    </row>
    <row r="1167">
      <c r="A1167" s="143">
        <v>1166.0</v>
      </c>
      <c r="B1167" s="144" t="s">
        <v>1070</v>
      </c>
      <c r="C1167" s="144" t="s">
        <v>1138</v>
      </c>
      <c r="D1167" s="144" t="s">
        <v>1153</v>
      </c>
      <c r="E1167" s="146">
        <v>0.11</v>
      </c>
    </row>
    <row r="1168">
      <c r="A1168" s="143">
        <v>1167.0</v>
      </c>
      <c r="B1168" s="144" t="s">
        <v>1070</v>
      </c>
      <c r="C1168" s="144" t="s">
        <v>1154</v>
      </c>
      <c r="D1168" s="144" t="s">
        <v>1155</v>
      </c>
      <c r="E1168" s="146">
        <v>0.13</v>
      </c>
    </row>
    <row r="1169">
      <c r="A1169" s="143">
        <v>1168.0</v>
      </c>
      <c r="B1169" s="144" t="s">
        <v>1070</v>
      </c>
      <c r="C1169" s="144" t="s">
        <v>1154</v>
      </c>
      <c r="D1169" s="144" t="s">
        <v>1156</v>
      </c>
      <c r="E1169" s="146">
        <v>0.13</v>
      </c>
    </row>
    <row r="1170">
      <c r="A1170" s="143">
        <v>1169.0</v>
      </c>
      <c r="B1170" s="144" t="s">
        <v>1070</v>
      </c>
      <c r="C1170" s="144" t="s">
        <v>1154</v>
      </c>
      <c r="D1170" s="144" t="s">
        <v>1157</v>
      </c>
      <c r="E1170" s="146">
        <v>0.13</v>
      </c>
    </row>
    <row r="1171">
      <c r="A1171" s="143">
        <v>1170.0</v>
      </c>
      <c r="B1171" s="144" t="s">
        <v>1070</v>
      </c>
      <c r="C1171" s="144" t="s">
        <v>1154</v>
      </c>
      <c r="D1171" s="144" t="s">
        <v>62</v>
      </c>
      <c r="E1171" s="146">
        <v>0.13</v>
      </c>
    </row>
    <row r="1172">
      <c r="A1172" s="143">
        <v>1171.0</v>
      </c>
      <c r="B1172" s="144" t="s">
        <v>1070</v>
      </c>
      <c r="C1172" s="144" t="s">
        <v>1158</v>
      </c>
      <c r="D1172" s="144" t="s">
        <v>1159</v>
      </c>
      <c r="E1172" s="146">
        <v>0.13</v>
      </c>
    </row>
    <row r="1173">
      <c r="A1173" s="143">
        <v>1172.0</v>
      </c>
      <c r="B1173" s="144" t="s">
        <v>1070</v>
      </c>
      <c r="C1173" s="144" t="s">
        <v>1158</v>
      </c>
      <c r="D1173" s="144" t="s">
        <v>1160</v>
      </c>
      <c r="E1173" s="146">
        <v>0.13</v>
      </c>
    </row>
    <row r="1174">
      <c r="A1174" s="143">
        <v>1173.0</v>
      </c>
      <c r="B1174" s="144" t="s">
        <v>1070</v>
      </c>
      <c r="C1174" s="144" t="s">
        <v>1158</v>
      </c>
      <c r="D1174" s="144" t="s">
        <v>1161</v>
      </c>
      <c r="E1174" s="146">
        <v>0.13</v>
      </c>
    </row>
    <row r="1175">
      <c r="A1175" s="143">
        <v>1174.0</v>
      </c>
      <c r="B1175" s="144" t="s">
        <v>1070</v>
      </c>
      <c r="C1175" s="144" t="s">
        <v>1158</v>
      </c>
      <c r="D1175" s="144" t="s">
        <v>1162</v>
      </c>
      <c r="E1175" s="146">
        <v>0.13</v>
      </c>
    </row>
    <row r="1176">
      <c r="A1176" s="143">
        <v>1175.0</v>
      </c>
      <c r="B1176" s="144" t="s">
        <v>1070</v>
      </c>
      <c r="C1176" s="144" t="s">
        <v>1158</v>
      </c>
      <c r="D1176" s="144" t="s">
        <v>1163</v>
      </c>
      <c r="E1176" s="146">
        <v>0.13</v>
      </c>
    </row>
    <row r="1177">
      <c r="A1177" s="143">
        <v>1176.0</v>
      </c>
      <c r="B1177" s="144" t="s">
        <v>1070</v>
      </c>
      <c r="C1177" s="144" t="s">
        <v>1158</v>
      </c>
      <c r="D1177" s="144" t="s">
        <v>62</v>
      </c>
      <c r="E1177" s="146">
        <v>0.13</v>
      </c>
    </row>
    <row r="1178">
      <c r="A1178" s="143">
        <v>1177.0</v>
      </c>
      <c r="B1178" s="144" t="s">
        <v>1070</v>
      </c>
      <c r="C1178" s="144" t="s">
        <v>1158</v>
      </c>
      <c r="D1178" s="144" t="s">
        <v>1164</v>
      </c>
      <c r="E1178" s="146">
        <v>0.13</v>
      </c>
    </row>
    <row r="1179">
      <c r="A1179" s="143">
        <v>1178.0</v>
      </c>
      <c r="B1179" s="144" t="s">
        <v>1070</v>
      </c>
      <c r="C1179" s="144" t="s">
        <v>1158</v>
      </c>
      <c r="D1179" s="144" t="s">
        <v>1165</v>
      </c>
      <c r="E1179" s="146">
        <v>0.13</v>
      </c>
    </row>
    <row r="1180">
      <c r="A1180" s="143">
        <v>1179.0</v>
      </c>
      <c r="B1180" s="144" t="s">
        <v>1070</v>
      </c>
      <c r="C1180" s="144" t="s">
        <v>1158</v>
      </c>
      <c r="D1180" s="144" t="s">
        <v>1166</v>
      </c>
      <c r="E1180" s="146">
        <v>0.13</v>
      </c>
    </row>
    <row r="1181">
      <c r="A1181" s="143">
        <v>1180.0</v>
      </c>
      <c r="B1181" s="144" t="s">
        <v>1070</v>
      </c>
      <c r="C1181" s="144" t="s">
        <v>1158</v>
      </c>
      <c r="D1181" s="144" t="s">
        <v>1167</v>
      </c>
      <c r="E1181" s="146">
        <v>0.13</v>
      </c>
    </row>
    <row r="1182">
      <c r="A1182" s="143">
        <v>1181.0</v>
      </c>
      <c r="B1182" s="144" t="s">
        <v>1070</v>
      </c>
      <c r="C1182" s="144" t="s">
        <v>1168</v>
      </c>
      <c r="D1182" s="144" t="s">
        <v>1169</v>
      </c>
      <c r="E1182" s="146">
        <v>0.13</v>
      </c>
    </row>
    <row r="1183">
      <c r="A1183" s="143">
        <v>1182.0</v>
      </c>
      <c r="B1183" s="144" t="s">
        <v>1070</v>
      </c>
      <c r="C1183" s="144" t="s">
        <v>1168</v>
      </c>
      <c r="D1183" s="144" t="s">
        <v>1170</v>
      </c>
      <c r="E1183" s="146">
        <v>0.13</v>
      </c>
    </row>
    <row r="1184">
      <c r="A1184" s="143">
        <v>1183.0</v>
      </c>
      <c r="B1184" s="144" t="s">
        <v>1070</v>
      </c>
      <c r="C1184" s="144" t="s">
        <v>1168</v>
      </c>
      <c r="D1184" s="144" t="s">
        <v>1171</v>
      </c>
      <c r="E1184" s="146">
        <v>0.13</v>
      </c>
    </row>
    <row r="1185">
      <c r="A1185" s="143">
        <v>1184.0</v>
      </c>
      <c r="B1185" s="144" t="s">
        <v>1070</v>
      </c>
      <c r="C1185" s="144" t="s">
        <v>1168</v>
      </c>
      <c r="D1185" s="144" t="s">
        <v>1172</v>
      </c>
      <c r="E1185" s="146">
        <v>0.13</v>
      </c>
    </row>
    <row r="1186">
      <c r="A1186" s="143">
        <v>1185.0</v>
      </c>
      <c r="B1186" s="144" t="s">
        <v>1070</v>
      </c>
      <c r="C1186" s="144" t="s">
        <v>1168</v>
      </c>
      <c r="D1186" s="144" t="s">
        <v>1173</v>
      </c>
      <c r="E1186" s="146">
        <v>0.13</v>
      </c>
    </row>
    <row r="1187">
      <c r="A1187" s="143">
        <v>1186.0</v>
      </c>
      <c r="B1187" s="144" t="s">
        <v>1070</v>
      </c>
      <c r="C1187" s="144" t="s">
        <v>1168</v>
      </c>
      <c r="D1187" s="144" t="s">
        <v>1174</v>
      </c>
      <c r="E1187" s="146">
        <v>0.13</v>
      </c>
    </row>
    <row r="1188">
      <c r="A1188" s="143">
        <v>1187.0</v>
      </c>
      <c r="B1188" s="144" t="s">
        <v>1070</v>
      </c>
      <c r="C1188" s="144" t="s">
        <v>1168</v>
      </c>
      <c r="D1188" s="144" t="s">
        <v>1175</v>
      </c>
      <c r="E1188" s="146">
        <v>0.13</v>
      </c>
    </row>
    <row r="1189">
      <c r="A1189" s="143">
        <v>1188.0</v>
      </c>
      <c r="B1189" s="144" t="s">
        <v>1070</v>
      </c>
      <c r="C1189" s="144" t="s">
        <v>1168</v>
      </c>
      <c r="D1189" s="144" t="s">
        <v>1176</v>
      </c>
      <c r="E1189" s="146">
        <v>0.13</v>
      </c>
    </row>
    <row r="1190">
      <c r="A1190" s="143">
        <v>1189.0</v>
      </c>
      <c r="B1190" s="144" t="s">
        <v>1070</v>
      </c>
      <c r="C1190" s="144" t="s">
        <v>1168</v>
      </c>
      <c r="D1190" s="144" t="s">
        <v>1177</v>
      </c>
      <c r="E1190" s="146">
        <v>0.13</v>
      </c>
    </row>
    <row r="1191">
      <c r="A1191" s="143">
        <v>1190.0</v>
      </c>
      <c r="B1191" s="144" t="s">
        <v>1070</v>
      </c>
      <c r="C1191" s="144" t="s">
        <v>1168</v>
      </c>
      <c r="D1191" s="144" t="s">
        <v>1178</v>
      </c>
      <c r="E1191" s="146">
        <v>0.13</v>
      </c>
    </row>
    <row r="1192">
      <c r="A1192" s="143">
        <v>1191.0</v>
      </c>
      <c r="B1192" s="144" t="s">
        <v>1070</v>
      </c>
      <c r="C1192" s="144" t="s">
        <v>1168</v>
      </c>
      <c r="D1192" s="144" t="s">
        <v>1179</v>
      </c>
      <c r="E1192" s="146">
        <v>0.13</v>
      </c>
    </row>
    <row r="1193">
      <c r="A1193" s="143">
        <v>1192.0</v>
      </c>
      <c r="B1193" s="144" t="s">
        <v>1070</v>
      </c>
      <c r="C1193" s="144" t="s">
        <v>1168</v>
      </c>
      <c r="D1193" s="144" t="s">
        <v>1180</v>
      </c>
      <c r="E1193" s="146">
        <v>0.13</v>
      </c>
    </row>
    <row r="1194">
      <c r="A1194" s="143">
        <v>1193.0</v>
      </c>
      <c r="B1194" s="144" t="s">
        <v>1070</v>
      </c>
      <c r="C1194" s="144" t="s">
        <v>1168</v>
      </c>
      <c r="D1194" s="144" t="s">
        <v>1181</v>
      </c>
      <c r="E1194" s="146">
        <v>0.13</v>
      </c>
    </row>
    <row r="1195">
      <c r="A1195" s="143">
        <v>1194.0</v>
      </c>
      <c r="B1195" s="144" t="s">
        <v>1070</v>
      </c>
      <c r="C1195" s="144" t="s">
        <v>1168</v>
      </c>
      <c r="D1195" s="144" t="s">
        <v>1182</v>
      </c>
      <c r="E1195" s="146">
        <v>0.13</v>
      </c>
    </row>
    <row r="1196">
      <c r="A1196" s="143">
        <v>1195.0</v>
      </c>
      <c r="B1196" s="144" t="s">
        <v>1070</v>
      </c>
      <c r="C1196" s="144" t="s">
        <v>1168</v>
      </c>
      <c r="D1196" s="144" t="s">
        <v>62</v>
      </c>
      <c r="E1196" s="146">
        <v>0.13</v>
      </c>
    </row>
    <row r="1197">
      <c r="A1197" s="143">
        <v>1196.0</v>
      </c>
      <c r="B1197" s="144" t="s">
        <v>1070</v>
      </c>
      <c r="C1197" s="144" t="s">
        <v>1168</v>
      </c>
      <c r="D1197" s="144" t="s">
        <v>1183</v>
      </c>
      <c r="E1197" s="146">
        <v>0.13</v>
      </c>
    </row>
    <row r="1198">
      <c r="A1198" s="143">
        <v>1197.0</v>
      </c>
      <c r="B1198" s="144" t="s">
        <v>1070</v>
      </c>
      <c r="C1198" s="144" t="s">
        <v>1168</v>
      </c>
      <c r="D1198" s="144" t="s">
        <v>1184</v>
      </c>
      <c r="E1198" s="146">
        <v>0.13</v>
      </c>
    </row>
    <row r="1199">
      <c r="A1199" s="143">
        <v>1198.0</v>
      </c>
      <c r="B1199" s="144" t="s">
        <v>1070</v>
      </c>
      <c r="C1199" s="144" t="s">
        <v>1168</v>
      </c>
      <c r="D1199" s="144" t="s">
        <v>1185</v>
      </c>
      <c r="E1199" s="146">
        <v>0.13</v>
      </c>
    </row>
    <row r="1200">
      <c r="A1200" s="143">
        <v>1199.0</v>
      </c>
      <c r="B1200" s="144" t="s">
        <v>1070</v>
      </c>
      <c r="C1200" s="144" t="s">
        <v>1168</v>
      </c>
      <c r="D1200" s="144" t="s">
        <v>1186</v>
      </c>
      <c r="E1200" s="146">
        <v>0.13</v>
      </c>
    </row>
    <row r="1201">
      <c r="A1201" s="143">
        <v>1200.0</v>
      </c>
      <c r="B1201" s="144" t="s">
        <v>1070</v>
      </c>
      <c r="C1201" s="144" t="s">
        <v>1168</v>
      </c>
      <c r="D1201" s="144" t="s">
        <v>1187</v>
      </c>
      <c r="E1201" s="146">
        <v>0.13</v>
      </c>
    </row>
    <row r="1202">
      <c r="A1202" s="143">
        <v>1201.0</v>
      </c>
      <c r="B1202" s="144" t="s">
        <v>1070</v>
      </c>
      <c r="C1202" s="144" t="s">
        <v>1168</v>
      </c>
      <c r="D1202" s="144" t="s">
        <v>1188</v>
      </c>
      <c r="E1202" s="146">
        <v>0.13</v>
      </c>
    </row>
    <row r="1203">
      <c r="A1203" s="143">
        <v>1202.0</v>
      </c>
      <c r="B1203" s="144" t="s">
        <v>1070</v>
      </c>
      <c r="C1203" s="144" t="s">
        <v>1168</v>
      </c>
      <c r="D1203" s="144" t="s">
        <v>1189</v>
      </c>
      <c r="E1203" s="146">
        <v>0.13</v>
      </c>
    </row>
    <row r="1204">
      <c r="A1204" s="143">
        <v>1203.0</v>
      </c>
      <c r="B1204" s="144" t="s">
        <v>1070</v>
      </c>
      <c r="C1204" s="144" t="s">
        <v>1190</v>
      </c>
      <c r="D1204" s="147"/>
      <c r="E1204" s="146">
        <v>0.11</v>
      </c>
    </row>
    <row r="1205">
      <c r="A1205" s="143">
        <v>1204.0</v>
      </c>
      <c r="B1205" s="144" t="s">
        <v>1070</v>
      </c>
      <c r="C1205" s="144" t="s">
        <v>62</v>
      </c>
      <c r="D1205" s="147"/>
      <c r="E1205" s="146">
        <v>0.13</v>
      </c>
    </row>
    <row r="1206">
      <c r="A1206" s="143">
        <v>1205.0</v>
      </c>
      <c r="B1206" s="144" t="s">
        <v>1070</v>
      </c>
      <c r="C1206" s="144" t="s">
        <v>1191</v>
      </c>
      <c r="D1206" s="144" t="s">
        <v>1192</v>
      </c>
      <c r="E1206" s="146">
        <v>0.13</v>
      </c>
    </row>
    <row r="1207">
      <c r="A1207" s="143">
        <v>1206.0</v>
      </c>
      <c r="B1207" s="144" t="s">
        <v>1070</v>
      </c>
      <c r="C1207" s="144" t="s">
        <v>1191</v>
      </c>
      <c r="D1207" s="144" t="s">
        <v>1193</v>
      </c>
      <c r="E1207" s="146">
        <v>0.13</v>
      </c>
    </row>
    <row r="1208">
      <c r="A1208" s="143">
        <v>1207.0</v>
      </c>
      <c r="B1208" s="144" t="s">
        <v>1070</v>
      </c>
      <c r="C1208" s="144" t="s">
        <v>1191</v>
      </c>
      <c r="D1208" s="144" t="s">
        <v>1194</v>
      </c>
      <c r="E1208" s="146">
        <v>0.13</v>
      </c>
    </row>
    <row r="1209">
      <c r="A1209" s="143">
        <v>1208.0</v>
      </c>
      <c r="B1209" s="144" t="s">
        <v>1070</v>
      </c>
      <c r="C1209" s="144" t="s">
        <v>1191</v>
      </c>
      <c r="D1209" s="144" t="s">
        <v>1195</v>
      </c>
      <c r="E1209" s="146">
        <v>0.13</v>
      </c>
    </row>
    <row r="1210">
      <c r="A1210" s="143">
        <v>1209.0</v>
      </c>
      <c r="B1210" s="144" t="s">
        <v>1070</v>
      </c>
      <c r="C1210" s="144" t="s">
        <v>1191</v>
      </c>
      <c r="D1210" s="144" t="s">
        <v>62</v>
      </c>
      <c r="E1210" s="146">
        <v>0.13</v>
      </c>
    </row>
    <row r="1211">
      <c r="A1211" s="143">
        <v>1210.0</v>
      </c>
      <c r="B1211" s="144" t="s">
        <v>1070</v>
      </c>
      <c r="C1211" s="144" t="s">
        <v>1191</v>
      </c>
      <c r="D1211" s="144" t="s">
        <v>1196</v>
      </c>
      <c r="E1211" s="146">
        <v>0.13</v>
      </c>
    </row>
    <row r="1212">
      <c r="A1212" s="143">
        <v>1211.0</v>
      </c>
      <c r="B1212" s="144" t="s">
        <v>1070</v>
      </c>
      <c r="C1212" s="144" t="s">
        <v>1191</v>
      </c>
      <c r="D1212" s="144" t="s">
        <v>1197</v>
      </c>
      <c r="E1212" s="146">
        <v>0.13</v>
      </c>
    </row>
    <row r="1213">
      <c r="A1213" s="143">
        <v>1212.0</v>
      </c>
      <c r="B1213" s="144" t="s">
        <v>1070</v>
      </c>
      <c r="C1213" s="144" t="s">
        <v>1191</v>
      </c>
      <c r="D1213" s="144" t="s">
        <v>1198</v>
      </c>
      <c r="E1213" s="146">
        <v>0.13</v>
      </c>
    </row>
    <row r="1214">
      <c r="A1214" s="143">
        <v>1213.0</v>
      </c>
      <c r="B1214" s="144" t="s">
        <v>1070</v>
      </c>
      <c r="C1214" s="144" t="s">
        <v>1199</v>
      </c>
      <c r="D1214" s="144" t="s">
        <v>1200</v>
      </c>
      <c r="E1214" s="146">
        <v>0.13</v>
      </c>
    </row>
    <row r="1215">
      <c r="A1215" s="143">
        <v>1214.0</v>
      </c>
      <c r="B1215" s="144" t="s">
        <v>1070</v>
      </c>
      <c r="C1215" s="144" t="s">
        <v>1199</v>
      </c>
      <c r="D1215" s="144" t="s">
        <v>1201</v>
      </c>
      <c r="E1215" s="146">
        <v>0.13</v>
      </c>
    </row>
    <row r="1216">
      <c r="A1216" s="143">
        <v>1215.0</v>
      </c>
      <c r="B1216" s="144" t="s">
        <v>1070</v>
      </c>
      <c r="C1216" s="144" t="s">
        <v>1199</v>
      </c>
      <c r="D1216" s="144" t="s">
        <v>62</v>
      </c>
      <c r="E1216" s="146">
        <v>0.13</v>
      </c>
    </row>
    <row r="1217">
      <c r="A1217" s="143">
        <v>1216.0</v>
      </c>
      <c r="B1217" s="144" t="s">
        <v>1070</v>
      </c>
      <c r="C1217" s="144" t="s">
        <v>1199</v>
      </c>
      <c r="D1217" s="144" t="s">
        <v>1202</v>
      </c>
      <c r="E1217" s="146">
        <v>0.1</v>
      </c>
    </row>
    <row r="1218">
      <c r="A1218" s="143">
        <v>1217.0</v>
      </c>
      <c r="B1218" s="144" t="s">
        <v>1070</v>
      </c>
      <c r="C1218" s="144" t="s">
        <v>1203</v>
      </c>
      <c r="D1218" s="144" t="s">
        <v>1204</v>
      </c>
      <c r="E1218" s="146">
        <v>0.13</v>
      </c>
    </row>
    <row r="1219">
      <c r="A1219" s="143">
        <v>1218.0</v>
      </c>
      <c r="B1219" s="144" t="s">
        <v>1070</v>
      </c>
      <c r="C1219" s="144" t="s">
        <v>1203</v>
      </c>
      <c r="D1219" s="144" t="s">
        <v>1205</v>
      </c>
      <c r="E1219" s="146">
        <v>0.11</v>
      </c>
    </row>
    <row r="1220">
      <c r="A1220" s="143">
        <v>1219.0</v>
      </c>
      <c r="B1220" s="144" t="s">
        <v>1070</v>
      </c>
      <c r="C1220" s="144" t="s">
        <v>1203</v>
      </c>
      <c r="D1220" s="144" t="s">
        <v>1206</v>
      </c>
      <c r="E1220" s="146">
        <v>0.11</v>
      </c>
    </row>
    <row r="1221">
      <c r="A1221" s="143">
        <v>1220.0</v>
      </c>
      <c r="B1221" s="144" t="s">
        <v>1070</v>
      </c>
      <c r="C1221" s="144" t="s">
        <v>1203</v>
      </c>
      <c r="D1221" s="144" t="s">
        <v>1207</v>
      </c>
      <c r="E1221" s="146">
        <v>0.13</v>
      </c>
    </row>
    <row r="1222">
      <c r="A1222" s="143">
        <v>1221.0</v>
      </c>
      <c r="B1222" s="144" t="s">
        <v>1070</v>
      </c>
      <c r="C1222" s="144" t="s">
        <v>1203</v>
      </c>
      <c r="D1222" s="144" t="s">
        <v>1208</v>
      </c>
      <c r="E1222" s="146">
        <v>0.11</v>
      </c>
    </row>
    <row r="1223">
      <c r="A1223" s="143">
        <v>1222.0</v>
      </c>
      <c r="B1223" s="144" t="s">
        <v>1070</v>
      </c>
      <c r="C1223" s="144" t="s">
        <v>1203</v>
      </c>
      <c r="D1223" s="144" t="s">
        <v>62</v>
      </c>
      <c r="E1223" s="146">
        <v>0.13</v>
      </c>
    </row>
    <row r="1224">
      <c r="A1224" s="143">
        <v>1223.0</v>
      </c>
      <c r="B1224" s="144" t="s">
        <v>1070</v>
      </c>
      <c r="C1224" s="144" t="s">
        <v>1203</v>
      </c>
      <c r="D1224" s="144" t="s">
        <v>1209</v>
      </c>
      <c r="E1224" s="146">
        <v>0.13</v>
      </c>
    </row>
    <row r="1225">
      <c r="A1225" s="143">
        <v>1224.0</v>
      </c>
      <c r="B1225" s="144" t="s">
        <v>1070</v>
      </c>
      <c r="C1225" s="144" t="s">
        <v>1203</v>
      </c>
      <c r="D1225" s="144" t="s">
        <v>1210</v>
      </c>
      <c r="E1225" s="146">
        <v>0.11</v>
      </c>
    </row>
    <row r="1226">
      <c r="A1226" s="143">
        <v>1225.0</v>
      </c>
      <c r="B1226" s="144" t="s">
        <v>1070</v>
      </c>
      <c r="C1226" s="144" t="s">
        <v>1203</v>
      </c>
      <c r="D1226" s="144" t="s">
        <v>1211</v>
      </c>
      <c r="E1226" s="146">
        <v>0.13</v>
      </c>
    </row>
    <row r="1227">
      <c r="A1227" s="143">
        <v>1226.0</v>
      </c>
      <c r="B1227" s="144" t="s">
        <v>1070</v>
      </c>
      <c r="C1227" s="144" t="s">
        <v>1203</v>
      </c>
      <c r="D1227" s="144" t="s">
        <v>1212</v>
      </c>
      <c r="E1227" s="146">
        <v>0.11</v>
      </c>
    </row>
    <row r="1228">
      <c r="A1228" s="143">
        <v>1227.0</v>
      </c>
      <c r="B1228" s="144" t="s">
        <v>1070</v>
      </c>
      <c r="C1228" s="144" t="s">
        <v>1203</v>
      </c>
      <c r="D1228" s="144" t="s">
        <v>1213</v>
      </c>
      <c r="E1228" s="146">
        <v>0.13</v>
      </c>
    </row>
    <row r="1229">
      <c r="A1229" s="143">
        <v>1228.0</v>
      </c>
      <c r="B1229" s="144" t="s">
        <v>1070</v>
      </c>
      <c r="C1229" s="144" t="s">
        <v>1203</v>
      </c>
      <c r="D1229" s="144" t="s">
        <v>789</v>
      </c>
      <c r="E1229" s="146">
        <v>0.11</v>
      </c>
    </row>
    <row r="1230">
      <c r="A1230" s="143">
        <v>1229.0</v>
      </c>
      <c r="B1230" s="144" t="s">
        <v>1070</v>
      </c>
      <c r="C1230" s="144" t="s">
        <v>1203</v>
      </c>
      <c r="D1230" s="144" t="s">
        <v>1214</v>
      </c>
      <c r="E1230" s="146">
        <v>0.11</v>
      </c>
    </row>
    <row r="1231">
      <c r="A1231" s="143">
        <v>1230.0</v>
      </c>
      <c r="B1231" s="144" t="s">
        <v>1070</v>
      </c>
      <c r="C1231" s="144" t="s">
        <v>1203</v>
      </c>
      <c r="D1231" s="144" t="s">
        <v>1215</v>
      </c>
      <c r="E1231" s="146">
        <v>0.13</v>
      </c>
    </row>
    <row r="1232">
      <c r="A1232" s="143">
        <v>1231.0</v>
      </c>
      <c r="B1232" s="144" t="s">
        <v>1216</v>
      </c>
      <c r="C1232" s="144" t="s">
        <v>1217</v>
      </c>
      <c r="D1232" s="144" t="s">
        <v>1218</v>
      </c>
      <c r="E1232" s="146">
        <v>0.13</v>
      </c>
    </row>
    <row r="1233">
      <c r="A1233" s="143">
        <v>1232.0</v>
      </c>
      <c r="B1233" s="144" t="s">
        <v>1216</v>
      </c>
      <c r="C1233" s="144" t="s">
        <v>1217</v>
      </c>
      <c r="D1233" s="144" t="s">
        <v>1219</v>
      </c>
      <c r="E1233" s="146">
        <v>0.13</v>
      </c>
    </row>
    <row r="1234">
      <c r="A1234" s="143">
        <v>1233.0</v>
      </c>
      <c r="B1234" s="144" t="s">
        <v>1216</v>
      </c>
      <c r="C1234" s="144" t="s">
        <v>1217</v>
      </c>
      <c r="D1234" s="144" t="s">
        <v>936</v>
      </c>
      <c r="E1234" s="146">
        <v>0.13</v>
      </c>
    </row>
    <row r="1235">
      <c r="A1235" s="143">
        <v>1234.0</v>
      </c>
      <c r="B1235" s="144" t="s">
        <v>1216</v>
      </c>
      <c r="C1235" s="144" t="s">
        <v>1217</v>
      </c>
      <c r="D1235" s="144" t="s">
        <v>951</v>
      </c>
      <c r="E1235" s="146">
        <v>0.13</v>
      </c>
    </row>
    <row r="1236">
      <c r="A1236" s="143">
        <v>1235.0</v>
      </c>
      <c r="B1236" s="144" t="s">
        <v>1216</v>
      </c>
      <c r="C1236" s="144" t="s">
        <v>1217</v>
      </c>
      <c r="D1236" s="144" t="s">
        <v>1220</v>
      </c>
      <c r="E1236" s="146">
        <v>0.13</v>
      </c>
    </row>
    <row r="1237">
      <c r="A1237" s="143">
        <v>1236.0</v>
      </c>
      <c r="B1237" s="144" t="s">
        <v>1216</v>
      </c>
      <c r="C1237" s="144" t="s">
        <v>1217</v>
      </c>
      <c r="D1237" s="144" t="s">
        <v>942</v>
      </c>
      <c r="E1237" s="146">
        <v>0.13</v>
      </c>
    </row>
    <row r="1238">
      <c r="A1238" s="143">
        <v>1237.0</v>
      </c>
      <c r="B1238" s="144" t="s">
        <v>1216</v>
      </c>
      <c r="C1238" s="144" t="s">
        <v>1217</v>
      </c>
      <c r="D1238" s="144" t="s">
        <v>62</v>
      </c>
      <c r="E1238" s="146">
        <v>0.13</v>
      </c>
    </row>
    <row r="1239">
      <c r="A1239" s="143">
        <v>1238.0</v>
      </c>
      <c r="B1239" s="144" t="s">
        <v>1216</v>
      </c>
      <c r="C1239" s="144" t="s">
        <v>1217</v>
      </c>
      <c r="D1239" s="144" t="s">
        <v>956</v>
      </c>
      <c r="E1239" s="146">
        <v>0.13</v>
      </c>
    </row>
    <row r="1240">
      <c r="A1240" s="143">
        <v>1239.0</v>
      </c>
      <c r="B1240" s="144" t="s">
        <v>1216</v>
      </c>
      <c r="C1240" s="144" t="s">
        <v>1217</v>
      </c>
      <c r="D1240" s="144" t="s">
        <v>1221</v>
      </c>
      <c r="E1240" s="146">
        <v>0.13</v>
      </c>
    </row>
    <row r="1241">
      <c r="A1241" s="143">
        <v>1240.0</v>
      </c>
      <c r="B1241" s="144" t="s">
        <v>1216</v>
      </c>
      <c r="C1241" s="144" t="s">
        <v>1217</v>
      </c>
      <c r="D1241" s="144" t="s">
        <v>1222</v>
      </c>
      <c r="E1241" s="146">
        <v>0.13</v>
      </c>
    </row>
    <row r="1242">
      <c r="A1242" s="143">
        <v>1241.0</v>
      </c>
      <c r="B1242" s="144" t="s">
        <v>1216</v>
      </c>
      <c r="C1242" s="144" t="s">
        <v>1217</v>
      </c>
      <c r="D1242" s="144" t="s">
        <v>944</v>
      </c>
      <c r="E1242" s="146">
        <v>0.13</v>
      </c>
    </row>
    <row r="1243">
      <c r="A1243" s="143">
        <v>1242.0</v>
      </c>
      <c r="B1243" s="144" t="s">
        <v>1216</v>
      </c>
      <c r="C1243" s="144" t="s">
        <v>1223</v>
      </c>
      <c r="D1243" s="147"/>
      <c r="E1243" s="146">
        <v>0.13</v>
      </c>
    </row>
    <row r="1244">
      <c r="A1244" s="143">
        <v>1243.0</v>
      </c>
      <c r="B1244" s="144" t="s">
        <v>1216</v>
      </c>
      <c r="C1244" s="144" t="s">
        <v>1224</v>
      </c>
      <c r="D1244" s="144" t="s">
        <v>1225</v>
      </c>
      <c r="E1244" s="146">
        <v>0.13</v>
      </c>
    </row>
    <row r="1245">
      <c r="A1245" s="143">
        <v>1244.0</v>
      </c>
      <c r="B1245" s="144" t="s">
        <v>1216</v>
      </c>
      <c r="C1245" s="144" t="s">
        <v>1224</v>
      </c>
      <c r="D1245" s="144" t="s">
        <v>1226</v>
      </c>
      <c r="E1245" s="146">
        <v>0.13</v>
      </c>
    </row>
    <row r="1246">
      <c r="A1246" s="143">
        <v>1245.0</v>
      </c>
      <c r="B1246" s="144" t="s">
        <v>1216</v>
      </c>
      <c r="C1246" s="144" t="s">
        <v>1224</v>
      </c>
      <c r="D1246" s="144" t="s">
        <v>966</v>
      </c>
      <c r="E1246" s="146">
        <v>0.13</v>
      </c>
    </row>
    <row r="1247">
      <c r="A1247" s="143">
        <v>1246.0</v>
      </c>
      <c r="B1247" s="144" t="s">
        <v>1216</v>
      </c>
      <c r="C1247" s="144" t="s">
        <v>1224</v>
      </c>
      <c r="D1247" s="144" t="s">
        <v>1227</v>
      </c>
      <c r="E1247" s="146">
        <v>0.13</v>
      </c>
    </row>
    <row r="1248">
      <c r="A1248" s="143">
        <v>1247.0</v>
      </c>
      <c r="B1248" s="144" t="s">
        <v>1216</v>
      </c>
      <c r="C1248" s="144" t="s">
        <v>1224</v>
      </c>
      <c r="D1248" s="144" t="s">
        <v>1228</v>
      </c>
      <c r="E1248" s="146">
        <v>0.13</v>
      </c>
    </row>
    <row r="1249">
      <c r="A1249" s="143">
        <v>1248.0</v>
      </c>
      <c r="B1249" s="144" t="s">
        <v>1216</v>
      </c>
      <c r="C1249" s="144" t="s">
        <v>1224</v>
      </c>
      <c r="D1249" s="144" t="s">
        <v>970</v>
      </c>
      <c r="E1249" s="146">
        <v>0.13</v>
      </c>
    </row>
    <row r="1250">
      <c r="A1250" s="143">
        <v>1249.0</v>
      </c>
      <c r="B1250" s="144" t="s">
        <v>1216</v>
      </c>
      <c r="C1250" s="144" t="s">
        <v>1224</v>
      </c>
      <c r="D1250" s="144" t="s">
        <v>971</v>
      </c>
      <c r="E1250" s="146">
        <v>0.13</v>
      </c>
    </row>
    <row r="1251">
      <c r="A1251" s="143">
        <v>1250.0</v>
      </c>
      <c r="B1251" s="144" t="s">
        <v>1216</v>
      </c>
      <c r="C1251" s="144" t="s">
        <v>1224</v>
      </c>
      <c r="D1251" s="144" t="s">
        <v>1229</v>
      </c>
      <c r="E1251" s="146">
        <v>0.13</v>
      </c>
    </row>
    <row r="1252">
      <c r="A1252" s="143">
        <v>1251.0</v>
      </c>
      <c r="B1252" s="144" t="s">
        <v>1216</v>
      </c>
      <c r="C1252" s="144" t="s">
        <v>1224</v>
      </c>
      <c r="D1252" s="144" t="s">
        <v>1230</v>
      </c>
      <c r="E1252" s="146">
        <v>0.13</v>
      </c>
    </row>
    <row r="1253">
      <c r="A1253" s="143">
        <v>1252.0</v>
      </c>
      <c r="B1253" s="144" t="s">
        <v>1216</v>
      </c>
      <c r="C1253" s="144" t="s">
        <v>1224</v>
      </c>
      <c r="D1253" s="144" t="s">
        <v>1190</v>
      </c>
      <c r="E1253" s="146">
        <v>0.13</v>
      </c>
    </row>
    <row r="1254">
      <c r="A1254" s="143">
        <v>1253.0</v>
      </c>
      <c r="B1254" s="144" t="s">
        <v>1216</v>
      </c>
      <c r="C1254" s="144" t="s">
        <v>1224</v>
      </c>
      <c r="D1254" s="144" t="s">
        <v>62</v>
      </c>
      <c r="E1254" s="146">
        <v>0.13</v>
      </c>
    </row>
    <row r="1255">
      <c r="A1255" s="143">
        <v>1254.0</v>
      </c>
      <c r="B1255" s="144" t="s">
        <v>1216</v>
      </c>
      <c r="C1255" s="144" t="s">
        <v>1224</v>
      </c>
      <c r="D1255" s="144" t="s">
        <v>1231</v>
      </c>
      <c r="E1255" s="146">
        <v>0.13</v>
      </c>
    </row>
    <row r="1256">
      <c r="A1256" s="143">
        <v>1255.0</v>
      </c>
      <c r="B1256" s="144" t="s">
        <v>1216</v>
      </c>
      <c r="C1256" s="144" t="s">
        <v>1224</v>
      </c>
      <c r="D1256" s="144" t="s">
        <v>1232</v>
      </c>
      <c r="E1256" s="146">
        <v>0.13</v>
      </c>
    </row>
    <row r="1257">
      <c r="A1257" s="143">
        <v>1256.0</v>
      </c>
      <c r="B1257" s="144" t="s">
        <v>1216</v>
      </c>
      <c r="C1257" s="144" t="s">
        <v>1224</v>
      </c>
      <c r="D1257" s="144" t="s">
        <v>975</v>
      </c>
      <c r="E1257" s="146">
        <v>0.13</v>
      </c>
    </row>
    <row r="1258">
      <c r="A1258" s="143">
        <v>1257.0</v>
      </c>
      <c r="B1258" s="144" t="s">
        <v>1216</v>
      </c>
      <c r="C1258" s="144" t="s">
        <v>1216</v>
      </c>
      <c r="D1258" s="147"/>
      <c r="E1258" s="146">
        <v>0.015</v>
      </c>
    </row>
    <row r="1259">
      <c r="A1259" s="143">
        <v>1258.0</v>
      </c>
      <c r="B1259" s="144" t="s">
        <v>1216</v>
      </c>
      <c r="C1259" s="144" t="s">
        <v>62</v>
      </c>
      <c r="D1259" s="147"/>
      <c r="E1259" s="146">
        <v>0.13</v>
      </c>
    </row>
    <row r="1260">
      <c r="A1260" s="143">
        <v>1259.0</v>
      </c>
      <c r="B1260" s="144" t="s">
        <v>1233</v>
      </c>
      <c r="C1260" s="144" t="s">
        <v>1234</v>
      </c>
      <c r="D1260" s="144" t="s">
        <v>1235</v>
      </c>
      <c r="E1260" s="146">
        <v>0.1</v>
      </c>
    </row>
    <row r="1261">
      <c r="A1261" s="143">
        <v>1260.0</v>
      </c>
      <c r="B1261" s="144" t="s">
        <v>1233</v>
      </c>
      <c r="C1261" s="144" t="s">
        <v>1234</v>
      </c>
      <c r="D1261" s="144" t="s">
        <v>1236</v>
      </c>
      <c r="E1261" s="146">
        <v>0.1</v>
      </c>
    </row>
    <row r="1262">
      <c r="A1262" s="143">
        <v>1261.0</v>
      </c>
      <c r="B1262" s="144" t="s">
        <v>1233</v>
      </c>
      <c r="C1262" s="144" t="s">
        <v>1234</v>
      </c>
      <c r="D1262" s="144" t="s">
        <v>1237</v>
      </c>
      <c r="E1262" s="146">
        <v>0.1</v>
      </c>
    </row>
    <row r="1263">
      <c r="A1263" s="143">
        <v>1262.0</v>
      </c>
      <c r="B1263" s="144" t="s">
        <v>1233</v>
      </c>
      <c r="C1263" s="144" t="s">
        <v>1234</v>
      </c>
      <c r="D1263" s="144" t="s">
        <v>1238</v>
      </c>
      <c r="E1263" s="146">
        <v>0.1</v>
      </c>
    </row>
    <row r="1264">
      <c r="A1264" s="143">
        <v>1263.0</v>
      </c>
      <c r="B1264" s="144" t="s">
        <v>1233</v>
      </c>
      <c r="C1264" s="144" t="s">
        <v>1234</v>
      </c>
      <c r="D1264" s="144" t="s">
        <v>1239</v>
      </c>
      <c r="E1264" s="146">
        <v>0.1</v>
      </c>
    </row>
    <row r="1265">
      <c r="A1265" s="143">
        <v>1264.0</v>
      </c>
      <c r="B1265" s="144" t="s">
        <v>1233</v>
      </c>
      <c r="C1265" s="144" t="s">
        <v>1234</v>
      </c>
      <c r="D1265" s="144" t="s">
        <v>62</v>
      </c>
      <c r="E1265" s="146">
        <v>0.1</v>
      </c>
    </row>
    <row r="1266">
      <c r="A1266" s="143">
        <v>1265.0</v>
      </c>
      <c r="B1266" s="144" t="s">
        <v>1233</v>
      </c>
      <c r="C1266" s="144" t="s">
        <v>1234</v>
      </c>
      <c r="D1266" s="144" t="s">
        <v>1240</v>
      </c>
      <c r="E1266" s="146">
        <v>0.1</v>
      </c>
    </row>
    <row r="1267">
      <c r="A1267" s="143">
        <v>1266.0</v>
      </c>
      <c r="B1267" s="144" t="s">
        <v>1233</v>
      </c>
      <c r="C1267" s="144" t="s">
        <v>1234</v>
      </c>
      <c r="D1267" s="144" t="s">
        <v>1241</v>
      </c>
      <c r="E1267" s="146">
        <v>0.1</v>
      </c>
    </row>
    <row r="1268">
      <c r="A1268" s="143">
        <v>1267.0</v>
      </c>
      <c r="B1268" s="144" t="s">
        <v>1233</v>
      </c>
      <c r="C1268" s="144" t="s">
        <v>1234</v>
      </c>
      <c r="D1268" s="144" t="s">
        <v>1242</v>
      </c>
      <c r="E1268" s="146">
        <v>0.1</v>
      </c>
    </row>
    <row r="1269">
      <c r="A1269" s="143">
        <v>1268.0</v>
      </c>
      <c r="B1269" s="144" t="s">
        <v>1233</v>
      </c>
      <c r="C1269" s="144" t="s">
        <v>1234</v>
      </c>
      <c r="D1269" s="144" t="s">
        <v>1243</v>
      </c>
      <c r="E1269" s="146">
        <v>0.1</v>
      </c>
    </row>
    <row r="1270">
      <c r="A1270" s="143">
        <v>1269.0</v>
      </c>
      <c r="B1270" s="144" t="s">
        <v>1233</v>
      </c>
      <c r="C1270" s="144" t="s">
        <v>1244</v>
      </c>
      <c r="D1270" s="144" t="s">
        <v>1245</v>
      </c>
      <c r="E1270" s="146">
        <v>0.09</v>
      </c>
    </row>
    <row r="1271">
      <c r="A1271" s="143">
        <v>1270.0</v>
      </c>
      <c r="B1271" s="144" t="s">
        <v>1233</v>
      </c>
      <c r="C1271" s="144" t="s">
        <v>1244</v>
      </c>
      <c r="D1271" s="144" t="s">
        <v>1246</v>
      </c>
      <c r="E1271" s="146">
        <v>0.09</v>
      </c>
    </row>
    <row r="1272">
      <c r="A1272" s="143">
        <v>1271.0</v>
      </c>
      <c r="B1272" s="144" t="s">
        <v>1233</v>
      </c>
      <c r="C1272" s="144" t="s">
        <v>1244</v>
      </c>
      <c r="D1272" s="144" t="s">
        <v>1247</v>
      </c>
      <c r="E1272" s="146">
        <v>0.09</v>
      </c>
    </row>
    <row r="1273">
      <c r="A1273" s="143">
        <v>1272.0</v>
      </c>
      <c r="B1273" s="144" t="s">
        <v>1233</v>
      </c>
      <c r="C1273" s="144" t="s">
        <v>1244</v>
      </c>
      <c r="D1273" s="144" t="s">
        <v>1248</v>
      </c>
      <c r="E1273" s="146">
        <v>0.09</v>
      </c>
    </row>
    <row r="1274">
      <c r="A1274" s="143">
        <v>1273.0</v>
      </c>
      <c r="B1274" s="144" t="s">
        <v>1233</v>
      </c>
      <c r="C1274" s="144" t="s">
        <v>1244</v>
      </c>
      <c r="D1274" s="144" t="s">
        <v>1249</v>
      </c>
      <c r="E1274" s="146">
        <v>0.09</v>
      </c>
    </row>
    <row r="1275">
      <c r="A1275" s="143">
        <v>1274.0</v>
      </c>
      <c r="B1275" s="144" t="s">
        <v>1233</v>
      </c>
      <c r="C1275" s="144" t="s">
        <v>1244</v>
      </c>
      <c r="D1275" s="144" t="s">
        <v>62</v>
      </c>
      <c r="E1275" s="146">
        <v>0.09</v>
      </c>
    </row>
    <row r="1276">
      <c r="A1276" s="143">
        <v>1275.0</v>
      </c>
      <c r="B1276" s="144" t="s">
        <v>1233</v>
      </c>
      <c r="C1276" s="144" t="s">
        <v>1244</v>
      </c>
      <c r="D1276" s="144" t="s">
        <v>1250</v>
      </c>
      <c r="E1276" s="146">
        <v>0.09</v>
      </c>
    </row>
    <row r="1277">
      <c r="A1277" s="143">
        <v>1276.0</v>
      </c>
      <c r="B1277" s="144" t="s">
        <v>1233</v>
      </c>
      <c r="C1277" s="144" t="s">
        <v>1251</v>
      </c>
      <c r="D1277" s="144" t="s">
        <v>1252</v>
      </c>
      <c r="E1277" s="146">
        <v>0.1</v>
      </c>
    </row>
    <row r="1278">
      <c r="A1278" s="143">
        <v>1277.0</v>
      </c>
      <c r="B1278" s="144" t="s">
        <v>1233</v>
      </c>
      <c r="C1278" s="144" t="s">
        <v>1251</v>
      </c>
      <c r="D1278" s="144" t="s">
        <v>62</v>
      </c>
      <c r="E1278" s="146">
        <v>0.13</v>
      </c>
    </row>
    <row r="1279">
      <c r="A1279" s="143">
        <v>1278.0</v>
      </c>
      <c r="B1279" s="144" t="s">
        <v>1233</v>
      </c>
      <c r="C1279" s="144" t="s">
        <v>1251</v>
      </c>
      <c r="D1279" s="144" t="s">
        <v>1253</v>
      </c>
      <c r="E1279" s="146">
        <v>0.1</v>
      </c>
    </row>
    <row r="1280">
      <c r="A1280" s="143">
        <v>1279.0</v>
      </c>
      <c r="B1280" s="144" t="s">
        <v>1233</v>
      </c>
      <c r="C1280" s="144" t="s">
        <v>1251</v>
      </c>
      <c r="D1280" s="144" t="s">
        <v>1254</v>
      </c>
      <c r="E1280" s="146">
        <v>0.1</v>
      </c>
    </row>
    <row r="1281">
      <c r="A1281" s="143">
        <v>1280.0</v>
      </c>
      <c r="B1281" s="144" t="s">
        <v>1233</v>
      </c>
      <c r="C1281" s="144" t="s">
        <v>1255</v>
      </c>
      <c r="D1281" s="144" t="s">
        <v>1256</v>
      </c>
      <c r="E1281" s="146">
        <v>0.1</v>
      </c>
    </row>
    <row r="1282">
      <c r="A1282" s="143">
        <v>1281.0</v>
      </c>
      <c r="B1282" s="144" t="s">
        <v>1233</v>
      </c>
      <c r="C1282" s="144" t="s">
        <v>1255</v>
      </c>
      <c r="D1282" s="144" t="s">
        <v>1257</v>
      </c>
      <c r="E1282" s="146">
        <v>0.1</v>
      </c>
    </row>
    <row r="1283">
      <c r="A1283" s="143">
        <v>1282.0</v>
      </c>
      <c r="B1283" s="144" t="s">
        <v>1233</v>
      </c>
      <c r="C1283" s="144" t="s">
        <v>1255</v>
      </c>
      <c r="D1283" s="144" t="s">
        <v>1258</v>
      </c>
      <c r="E1283" s="146">
        <v>0.1</v>
      </c>
    </row>
    <row r="1284">
      <c r="A1284" s="143">
        <v>1283.0</v>
      </c>
      <c r="B1284" s="144" t="s">
        <v>1233</v>
      </c>
      <c r="C1284" s="144" t="s">
        <v>1255</v>
      </c>
      <c r="D1284" s="144" t="s">
        <v>1259</v>
      </c>
      <c r="E1284" s="146">
        <v>0.1</v>
      </c>
    </row>
    <row r="1285">
      <c r="A1285" s="143">
        <v>1284.0</v>
      </c>
      <c r="B1285" s="144" t="s">
        <v>1233</v>
      </c>
      <c r="C1285" s="144" t="s">
        <v>1255</v>
      </c>
      <c r="D1285" s="144" t="s">
        <v>1260</v>
      </c>
      <c r="E1285" s="146">
        <v>0.1</v>
      </c>
    </row>
    <row r="1286">
      <c r="A1286" s="143">
        <v>1285.0</v>
      </c>
      <c r="B1286" s="144" t="s">
        <v>1233</v>
      </c>
      <c r="C1286" s="144" t="s">
        <v>1255</v>
      </c>
      <c r="D1286" s="144" t="s">
        <v>1261</v>
      </c>
      <c r="E1286" s="146">
        <v>0.1</v>
      </c>
    </row>
    <row r="1287">
      <c r="A1287" s="143">
        <v>1286.0</v>
      </c>
      <c r="B1287" s="144" t="s">
        <v>1233</v>
      </c>
      <c r="C1287" s="144" t="s">
        <v>1255</v>
      </c>
      <c r="D1287" s="144" t="s">
        <v>1262</v>
      </c>
      <c r="E1287" s="146">
        <v>0.1</v>
      </c>
    </row>
    <row r="1288">
      <c r="A1288" s="143">
        <v>1287.0</v>
      </c>
      <c r="B1288" s="144" t="s">
        <v>1233</v>
      </c>
      <c r="C1288" s="144" t="s">
        <v>1255</v>
      </c>
      <c r="D1288" s="144" t="s">
        <v>62</v>
      </c>
      <c r="E1288" s="146">
        <v>0.13</v>
      </c>
    </row>
    <row r="1289">
      <c r="A1289" s="143">
        <v>1288.0</v>
      </c>
      <c r="B1289" s="144" t="s">
        <v>1233</v>
      </c>
      <c r="C1289" s="144" t="s">
        <v>1255</v>
      </c>
      <c r="D1289" s="144" t="s">
        <v>1263</v>
      </c>
      <c r="E1289" s="146">
        <v>0.1</v>
      </c>
    </row>
    <row r="1290">
      <c r="A1290" s="143">
        <v>1289.0</v>
      </c>
      <c r="B1290" s="144" t="s">
        <v>1233</v>
      </c>
      <c r="C1290" s="144" t="s">
        <v>1255</v>
      </c>
      <c r="D1290" s="144" t="s">
        <v>1264</v>
      </c>
      <c r="E1290" s="146">
        <v>0.1</v>
      </c>
    </row>
    <row r="1291">
      <c r="A1291" s="143">
        <v>1290.0</v>
      </c>
      <c r="B1291" s="144" t="s">
        <v>1233</v>
      </c>
      <c r="C1291" s="144" t="s">
        <v>62</v>
      </c>
      <c r="D1291" s="147"/>
      <c r="E1291" s="146">
        <v>0.13</v>
      </c>
    </row>
    <row r="1292">
      <c r="A1292" s="143">
        <v>1291.0</v>
      </c>
      <c r="B1292" s="144" t="s">
        <v>1233</v>
      </c>
      <c r="C1292" s="144" t="s">
        <v>1265</v>
      </c>
      <c r="D1292" s="144" t="s">
        <v>1266</v>
      </c>
      <c r="E1292" s="146">
        <v>0.1</v>
      </c>
    </row>
    <row r="1293">
      <c r="A1293" s="143">
        <v>1292.0</v>
      </c>
      <c r="B1293" s="144" t="s">
        <v>1233</v>
      </c>
      <c r="C1293" s="144" t="s">
        <v>1265</v>
      </c>
      <c r="D1293" s="144" t="s">
        <v>1267</v>
      </c>
      <c r="E1293" s="146">
        <v>0.1</v>
      </c>
    </row>
    <row r="1294">
      <c r="A1294" s="143">
        <v>1293.0</v>
      </c>
      <c r="B1294" s="144" t="s">
        <v>1233</v>
      </c>
      <c r="C1294" s="144" t="s">
        <v>1265</v>
      </c>
      <c r="D1294" s="144" t="s">
        <v>1268</v>
      </c>
      <c r="E1294" s="146">
        <v>0.1</v>
      </c>
    </row>
    <row r="1295">
      <c r="A1295" s="143">
        <v>1294.0</v>
      </c>
      <c r="B1295" s="144" t="s">
        <v>1233</v>
      </c>
      <c r="C1295" s="144" t="s">
        <v>1265</v>
      </c>
      <c r="D1295" s="144" t="s">
        <v>1269</v>
      </c>
      <c r="E1295" s="146">
        <v>0.1</v>
      </c>
    </row>
    <row r="1296">
      <c r="A1296" s="143">
        <v>1295.0</v>
      </c>
      <c r="B1296" s="144" t="s">
        <v>1233</v>
      </c>
      <c r="C1296" s="144" t="s">
        <v>1265</v>
      </c>
      <c r="D1296" s="144" t="s">
        <v>1270</v>
      </c>
      <c r="E1296" s="146">
        <v>0.1</v>
      </c>
    </row>
    <row r="1297">
      <c r="A1297" s="143">
        <v>1296.0</v>
      </c>
      <c r="B1297" s="144" t="s">
        <v>1233</v>
      </c>
      <c r="C1297" s="144" t="s">
        <v>1265</v>
      </c>
      <c r="D1297" s="144" t="s">
        <v>1271</v>
      </c>
      <c r="E1297" s="146">
        <v>0.1</v>
      </c>
    </row>
    <row r="1298">
      <c r="A1298" s="143">
        <v>1297.0</v>
      </c>
      <c r="B1298" s="144" t="s">
        <v>1233</v>
      </c>
      <c r="C1298" s="144" t="s">
        <v>1265</v>
      </c>
      <c r="D1298" s="144" t="s">
        <v>1272</v>
      </c>
      <c r="E1298" s="146">
        <v>0.1</v>
      </c>
    </row>
    <row r="1299">
      <c r="A1299" s="143">
        <v>1298.0</v>
      </c>
      <c r="B1299" s="144" t="s">
        <v>1233</v>
      </c>
      <c r="C1299" s="144" t="s">
        <v>1265</v>
      </c>
      <c r="D1299" s="144" t="s">
        <v>1273</v>
      </c>
      <c r="E1299" s="146">
        <v>0.1</v>
      </c>
    </row>
    <row r="1300">
      <c r="A1300" s="143">
        <v>1299.0</v>
      </c>
      <c r="B1300" s="144" t="s">
        <v>1233</v>
      </c>
      <c r="C1300" s="144" t="s">
        <v>1265</v>
      </c>
      <c r="D1300" s="144" t="s">
        <v>1274</v>
      </c>
      <c r="E1300" s="146">
        <v>0.1</v>
      </c>
    </row>
    <row r="1301">
      <c r="A1301" s="143">
        <v>1300.0</v>
      </c>
      <c r="B1301" s="144" t="s">
        <v>1233</v>
      </c>
      <c r="C1301" s="144" t="s">
        <v>1265</v>
      </c>
      <c r="D1301" s="144" t="s">
        <v>62</v>
      </c>
      <c r="E1301" s="146">
        <v>0.1</v>
      </c>
    </row>
    <row r="1302">
      <c r="A1302" s="143">
        <v>1301.0</v>
      </c>
      <c r="B1302" s="144" t="s">
        <v>1233</v>
      </c>
      <c r="C1302" s="144" t="s">
        <v>1265</v>
      </c>
      <c r="D1302" s="144" t="s">
        <v>1275</v>
      </c>
      <c r="E1302" s="146">
        <v>0.1</v>
      </c>
    </row>
    <row r="1303">
      <c r="A1303" s="143">
        <v>1302.0</v>
      </c>
      <c r="B1303" s="144" t="s">
        <v>1233</v>
      </c>
      <c r="C1303" s="144" t="s">
        <v>1265</v>
      </c>
      <c r="D1303" s="144" t="s">
        <v>1276</v>
      </c>
      <c r="E1303" s="146">
        <v>0.1</v>
      </c>
    </row>
    <row r="1304">
      <c r="A1304" s="143">
        <v>1303.0</v>
      </c>
      <c r="B1304" s="144" t="s">
        <v>1233</v>
      </c>
      <c r="C1304" s="144" t="s">
        <v>1265</v>
      </c>
      <c r="D1304" s="144" t="s">
        <v>1277</v>
      </c>
      <c r="E1304" s="146">
        <v>0.1</v>
      </c>
    </row>
    <row r="1305">
      <c r="A1305" s="143">
        <v>1304.0</v>
      </c>
      <c r="B1305" s="144" t="s">
        <v>1233</v>
      </c>
      <c r="C1305" s="144" t="s">
        <v>1265</v>
      </c>
      <c r="D1305" s="144" t="s">
        <v>1278</v>
      </c>
      <c r="E1305" s="146">
        <v>0.1</v>
      </c>
    </row>
    <row r="1306">
      <c r="A1306" s="143">
        <v>1305.0</v>
      </c>
      <c r="B1306" s="144" t="s">
        <v>1233</v>
      </c>
      <c r="C1306" s="144" t="s">
        <v>1265</v>
      </c>
      <c r="D1306" s="144" t="s">
        <v>1279</v>
      </c>
      <c r="E1306" s="146">
        <v>0.1</v>
      </c>
    </row>
    <row r="1307">
      <c r="A1307" s="143">
        <v>1306.0</v>
      </c>
      <c r="B1307" s="144" t="s">
        <v>1233</v>
      </c>
      <c r="C1307" s="144" t="s">
        <v>1265</v>
      </c>
      <c r="D1307" s="144" t="s">
        <v>1280</v>
      </c>
      <c r="E1307" s="146">
        <v>0.1</v>
      </c>
    </row>
    <row r="1308">
      <c r="A1308" s="143">
        <v>1307.0</v>
      </c>
      <c r="B1308" s="144" t="s">
        <v>1233</v>
      </c>
      <c r="C1308" s="144" t="s">
        <v>1265</v>
      </c>
      <c r="D1308" s="144" t="s">
        <v>1281</v>
      </c>
      <c r="E1308" s="146">
        <v>0.1</v>
      </c>
    </row>
    <row r="1309">
      <c r="A1309" s="143">
        <v>1308.0</v>
      </c>
      <c r="B1309" s="144" t="s">
        <v>1233</v>
      </c>
      <c r="C1309" s="144" t="s">
        <v>1265</v>
      </c>
      <c r="D1309" s="144" t="s">
        <v>1282</v>
      </c>
      <c r="E1309" s="146">
        <v>0.1</v>
      </c>
    </row>
    <row r="1310">
      <c r="A1310" s="143">
        <v>1309.0</v>
      </c>
      <c r="B1310" s="144" t="s">
        <v>1233</v>
      </c>
      <c r="C1310" s="144" t="s">
        <v>1283</v>
      </c>
      <c r="D1310" s="144" t="s">
        <v>1284</v>
      </c>
      <c r="E1310" s="146">
        <v>0.1</v>
      </c>
    </row>
    <row r="1311">
      <c r="A1311" s="143">
        <v>1310.0</v>
      </c>
      <c r="B1311" s="144" t="s">
        <v>1233</v>
      </c>
      <c r="C1311" s="144" t="s">
        <v>1283</v>
      </c>
      <c r="D1311" s="144" t="s">
        <v>1285</v>
      </c>
      <c r="E1311" s="146">
        <v>0.1</v>
      </c>
    </row>
    <row r="1312">
      <c r="A1312" s="143">
        <v>1311.0</v>
      </c>
      <c r="B1312" s="144" t="s">
        <v>1233</v>
      </c>
      <c r="C1312" s="144" t="s">
        <v>1283</v>
      </c>
      <c r="D1312" s="144" t="s">
        <v>1286</v>
      </c>
      <c r="E1312" s="146">
        <v>0.1</v>
      </c>
    </row>
    <row r="1313">
      <c r="A1313" s="143">
        <v>1312.0</v>
      </c>
      <c r="B1313" s="144" t="s">
        <v>1233</v>
      </c>
      <c r="C1313" s="144" t="s">
        <v>1283</v>
      </c>
      <c r="D1313" s="144" t="s">
        <v>62</v>
      </c>
      <c r="E1313" s="146">
        <v>0.1</v>
      </c>
    </row>
    <row r="1314">
      <c r="A1314" s="143">
        <v>1313.0</v>
      </c>
      <c r="B1314" s="144" t="s">
        <v>1233</v>
      </c>
      <c r="C1314" s="144" t="s">
        <v>1283</v>
      </c>
      <c r="D1314" s="144" t="s">
        <v>1287</v>
      </c>
      <c r="E1314" s="146">
        <v>0.1</v>
      </c>
    </row>
    <row r="1315">
      <c r="A1315" s="143">
        <v>1314.0</v>
      </c>
      <c r="B1315" s="144" t="s">
        <v>1233</v>
      </c>
      <c r="C1315" s="144" t="s">
        <v>1283</v>
      </c>
      <c r="D1315" s="144" t="s">
        <v>1288</v>
      </c>
      <c r="E1315" s="146">
        <v>0.1</v>
      </c>
    </row>
  </sheetData>
  <drawing r:id="rId1"/>
</worksheet>
</file>